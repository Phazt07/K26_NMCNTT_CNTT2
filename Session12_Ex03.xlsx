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b746ef27c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2adc8c8e2ee34a37"/>
    <x:sheet xmlns:r="http://schemas.openxmlformats.org/officeDocument/2006/relationships" name="Mã vận đơn" sheetId="2" r:id="R61fb0f0933a640da"/>
    <x:sheet xmlns:r="http://schemas.openxmlformats.org/officeDocument/2006/relationships" name="Giá cước" sheetId="3" r:id="R8820c5cac41f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8">
    <x:font>
      <x:sz val="11"/>
      <x:name val="Carlito"/>
    </x:font>
    <x:font>
      <x:sz val="10"/>
      <x:color rgb="FF203040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i/>
      <x:sz val="10"/>
      <x:color rgb="FF65758B"/>
      <x:name val="Arial"/>
    </x:font>
    <x:font>
      <x:b/>
      <x:sz val="10"/>
      <x:color rgb="FF17365D"/>
      <x:name val="Arial"/>
    </x:font>
    <x:font>
      <x:b/>
      <x:sz val="10"/>
      <x:color rgb="FF203040"/>
      <x:name val="Arial"/>
    </x:font>
    <x:font>
      <x:b/>
      <x:sz val="10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  <x:fill>
      <x:patternFill patternType="solid">
        <x:fgColor rgb="FFF4B183"/>
      </x:patternFill>
    </x:fill>
    <x:fill>
      <x:patternFill patternType="solid">
        <x:fgColor rgb="FFFCE4D6"/>
      </x:patternFill>
    </x:fill>
  </x:fills>
  <x:borders count="17">
    <x:border>
      <x:left/>
      <x:right/>
      <x:top/>
      <x:bottom/>
      <x:diagonal/>
    </x:border>
    <x:border>
      <x:left style="thin">
        <x:color rgb="FFA6B4C4"/>
      </x:left>
      <x:right/>
      <x:top style="thin">
        <x:color rgb="FFA6B4C4"/>
      </x:top>
      <x:bottom/>
      <x:diagonal/>
    </x:border>
    <x:border>
      <x:left/>
      <x:right/>
      <x:top style="thin">
        <x:color rgb="FFA6B4C4"/>
      </x:top>
      <x:bottom/>
      <x:diagonal/>
    </x:border>
    <x:border>
      <x:left/>
      <x:right style="thin">
        <x:color rgb="FFA6B4C4"/>
      </x:right>
      <x:top style="thin">
        <x:color rgb="FFA6B4C4"/>
      </x:top>
      <x:bottom/>
      <x:diagonal/>
    </x:border>
    <x:border>
      <x:left style="thin">
        <x:color rgb="FFA6B4C4"/>
      </x:left>
      <x:right/>
      <x:top/>
      <x:bottom/>
      <x:diagonal/>
    </x:border>
    <x:border>
      <x:left/>
      <x:right style="thin">
        <x:color rgb="FFA6B4C4"/>
      </x:right>
      <x:top/>
      <x:bottom/>
      <x:diagonal/>
    </x:border>
    <x:border>
      <x:left style="thin">
        <x:color rgb="FFA6B4C4"/>
      </x:left>
      <x:right/>
      <x:top/>
      <x:bottom style="thin">
        <x:color rgb="FFA6B4C4"/>
      </x:bottom>
      <x:diagonal/>
    </x:border>
    <x:border>
      <x:left/>
      <x:right/>
      <x:top/>
      <x:bottom style="thin">
        <x:color rgb="FFA6B4C4"/>
      </x:bottom>
      <x:diagonal/>
    </x:border>
    <x:border>
      <x:left/>
      <x:right style="thin">
        <x:color rgb="FFA6B4C4"/>
      </x:right>
      <x:top/>
      <x:bottom style="thin">
        <x:color rgb="FFA6B4C4"/>
      </x:bottom>
      <x:diagonal/>
    </x:border>
    <x:border>
      <x:left style="thin">
        <x:color rgb="FFC4CEDA"/>
      </x:left>
      <x:right/>
      <x:top style="thin">
        <x:color rgb="FFC4CEDA"/>
      </x:top>
      <x:bottom/>
      <x:diagonal/>
    </x:border>
    <x:border>
      <x:left/>
      <x:right/>
      <x:top style="thin">
        <x:color rgb="FFC4CEDA"/>
      </x:top>
      <x:bottom/>
      <x:diagonal/>
    </x:border>
    <x:border>
      <x:left/>
      <x:right style="thin">
        <x:color rgb="FFC4CEDA"/>
      </x:right>
      <x:top style="thin">
        <x:color rgb="FFC4CEDA"/>
      </x:top>
      <x:bottom/>
      <x:diagonal/>
    </x:border>
    <x:border>
      <x:left style="thin">
        <x:color rgb="FFC4CEDA"/>
      </x:left>
      <x:right/>
      <x:top/>
      <x:bottom/>
      <x:diagonal/>
    </x:border>
    <x:border>
      <x:left/>
      <x:right style="thin">
        <x:color rgb="FFC4CEDA"/>
      </x:right>
      <x:top/>
      <x:bottom/>
      <x:diagonal/>
    </x:border>
    <x:border>
      <x:left style="thin">
        <x:color rgb="FFC4CEDA"/>
      </x:left>
      <x:right/>
      <x:top/>
      <x:bottom style="thin">
        <x:color rgb="FFC4CEDA"/>
      </x:bottom>
      <x:diagonal/>
    </x:border>
    <x:border>
      <x:left/>
      <x:right/>
      <x:top/>
      <x:bottom style="thin">
        <x:color rgb="FFC4CEDA"/>
      </x:bottom>
      <x:diagonal/>
    </x:border>
    <x:border>
      <x:left/>
      <x:right style="thin">
        <x:color rgb="FFC4CEDA"/>
      </x:right>
      <x:top/>
      <x:bottom style="thin">
        <x:color rgb="FFC4CEDA"/>
      </x:bottom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wrapText="1"/>
    </x:xf>
    <x:xf numFmtId="0" fontId="6" fillId="6" borderId="12" xfId="0" applyNumberFormat="1" applyFont="1" applyFill="1" applyBorder="1"/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eee43ffae4cf7" /><Relationship Type="http://schemas.openxmlformats.org/officeDocument/2006/relationships/theme" Target="/xl/theme/theme1.xml" Id="R022485c6028b4754" /><Relationship Type="http://schemas.openxmlformats.org/officeDocument/2006/relationships/sharedStrings" Target="/xl/sharedStrings.xml" Id="R65b3e827197547d3" /><Relationship Type="http://schemas.openxmlformats.org/officeDocument/2006/relationships/worksheet" Target="/xl/worksheets/sheet1.xml" Id="R2adc8c8e2ee34a37" /><Relationship Type="http://schemas.openxmlformats.org/officeDocument/2006/relationships/worksheet" Target="/xl/worksheets/sheet2.xml" Id="R61fb0f0933a640da" /><Relationship Type="http://schemas.openxmlformats.org/officeDocument/2006/relationships/worksheet" Target="/xl/worksheets/sheet3.xml" Id="R8820c5cac41f4d79" /></Relationships>
</file>

<file path=xl/tables/table1.xml><?xml version="1.0" encoding="utf-8"?>
<x:table xmlns:x="http://schemas.openxmlformats.org/spreadsheetml/2006/main" id="2" name="MaVanDon" displayName="MaVanDon" ref="A1:H501" headerRowCount="1" totalsRowCount="0" totalsRowShown="0">
  <x:tableColumns count="8">
    <x:tableColumn id="1" name="Mã vận đơn"/>
    <x:tableColumn id="2" name="Mã cước"/>
    <x:tableColumn id="3" name="Người nhận"/>
    <x:tableColumn id="4" name="Tuyến giao"/>
    <x:tableColumn id="5" name="Khối lượng (kg)"/>
    <x:tableColumn id="6" name="Giá cước/kg (VND)"/>
    <x:tableColumn id="7" name="Cước dự kiến (VND)"/>
    <x:tableColumn id="8" name="Trạng thái tra cứ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GiaCuoc" displayName="GiaCuoc" ref="A1:D7" headerRowCount="1" totalsRowCount="0" totalsRowShown="0">
  <x:tableColumns count="4">
    <x:tableColumn id="1" name="Mã cước"/>
    <x:tableColumn id="2" name="Tuyến / vùng"/>
    <x:tableColumn id="3" name="Loại dịch vụ"/>
    <x:tableColumn id="4" name="Giá cước/kg (VN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6293aec770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97f80f6b9449c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6" hidden="0" customWidth="1"/>
    <x:col min="3" max="3" width="35" hidden="0" customWidth="1"/>
    <x:col min="4" max="4" width="43" hidden="0" customWidth="1"/>
  </x:cols>
  <x:sheetData>
    <x:row r="1" ht="32" customHeight="1">
      <x:c r="A1" s="52" t="str">
        <x:v>FASTMOVE | HƯỚNG DẪN TRA CƯỚC</x:v>
      </x:c>
      <x:c r="B1" s="53" t="str"/>
      <x:c r="C1" s="53" t="str"/>
      <x:c r="D1" s="54" t="str"/>
    </x:row>
    <x:row r="2" ht="34" customHeight="1">
      <x:c r="A2" s="55" t="str">
        <x:v>DỮ LIỆU MẪU</x:v>
      </x:c>
      <x:c r="B2" s="31" t="str">
        <x:v>Thay bằng biểu giá FastMove đã duyệt trước khi dùng.</x:v>
      </x:c>
      <x:c r="C2" s="31" t="str"/>
      <x:c r="D2" s="56" t="str"/>
    </x:row>
    <x:row r="3">
      <x:c r="A3" s="57"/>
      <x:c r="B3" s="1"/>
      <x:c r="C3" s="1"/>
      <x:c r="D3" s="58"/>
    </x:row>
    <x:row r="4" ht="32" customHeight="1">
      <x:c r="A4" s="59" t="str">
        <x:v>4 tham số VLOOKUP</x:v>
      </x:c>
      <x:c r="B4" s="35" t="str">
        <x:v>Thành phần trong Excel</x:v>
      </x:c>
      <x:c r="C4" s="35" t="str">
        <x:v>Ví dụ nhân viên kho tra hồ sơ</x:v>
      </x:c>
      <x:c r="D4" s="60" t="str">
        <x:v>Vai trò trong bảng FastMove</x:v>
      </x:c>
    </x:row>
    <x:row r="5" ht="42" customHeight="1">
      <x:c r="A5" s="61" t="str">
        <x:v>1. lookup_value</x:v>
      </x:c>
      <x:c r="B5" s="37" t="str">
        <x:v>TRIM(B2)</x:v>
      </x:c>
      <x:c r="C5" s="37" t="str">
        <x:v>Mã hồ sơ cần tìm</x:v>
      </x:c>
      <x:c r="D5" s="62" t="str">
        <x:v>Mã cước ở cột B của sheet Mã vận đơn</x:v>
      </x:c>
    </x:row>
    <x:row r="6" ht="42" customHeight="1">
      <x:c r="A6" s="61" t="str">
        <x:v>2. table_array</x:v>
      </x:c>
      <x:c r="B6" s="37" t="str">
        <x:v>'Giá cước'!$A$2:$D$7</x:v>
      </x:c>
      <x:c r="C6" s="37" t="str">
        <x:v>Ngăn/tủ hồ sơ được cố định</x:v>
      </x:c>
      <x:c r="D6" s="62" t="str">
        <x:v>Bảng giá trên sheet Giá cước; dấu $ giữ nguyên vùng khi kéo công thức</x:v>
      </x:c>
    </x:row>
    <x:row r="7" ht="42" customHeight="1">
      <x:c r="A7" s="61" t="str">
        <x:v>3. col_index_num</x:v>
      </x:c>
      <x:c r="B7" s="37" t="str">
        <x:v>4</x:v>
      </x:c>
      <x:c r="C7" s="37" t="str">
        <x:v>Cột thông tin cần lấy</x:v>
      </x:c>
      <x:c r="D7" s="62" t="str">
        <x:v>Cột thứ 4 trong vùng tra cứu là Giá cước/kg</x:v>
      </x:c>
    </x:row>
    <x:row r="8" ht="42" customHeight="1">
      <x:c r="A8" s="61" t="str">
        <x:v>4. range_lookup</x:v>
      </x:c>
      <x:c r="B8" s="37" t="str">
        <x:v>FALSE</x:v>
      </x:c>
      <x:c r="C8" s="37" t="str">
        <x:v>So khớp chính xác mã hồ sơ</x:v>
      </x:c>
      <x:c r="D8" s="62" t="str">
        <x:v>Không lấy gần đúng; sai ký tự sẽ được IFERROR xử lý</x:v>
      </x:c>
    </x:row>
    <x:row r="9">
      <x:c r="A9" s="57"/>
      <x:c r="B9" s="1"/>
      <x:c r="C9" s="1"/>
      <x:c r="D9" s="58"/>
    </x:row>
    <x:row r="10">
      <x:c r="A10" s="59" t="str">
        <x:v>Công thức đã áp dụng</x:v>
      </x:c>
      <x:c r="B10" s="35" t="str"/>
      <x:c r="C10" s="35" t="str"/>
      <x:c r="D10" s="60" t="str"/>
    </x:row>
    <x:row r="11" ht="38" customHeight="1">
      <x:c r="A11" s="63" t="str">
        <x:v>=IF(B2="","",</x:v>
      </x:c>
      <x:c r="B11" s="40" t="str">
        <x:v>IFERROR(VLOOKUP(TRIM(B2),</x:v>
      </x:c>
      <x:c r="C11" s="40" t="str">
        <x:v>'Giá cước'!$A$2:$D$7,4,FALSE),</x:v>
      </x:c>
      <x:c r="D11" s="64" t="str">
        <x:v>"Không tìm thấy mã cước"))</x:v>
      </x:c>
    </x:row>
    <x:row r="12">
      <x:c r="A12" s="57"/>
      <x:c r="B12" s="1"/>
      <x:c r="C12" s="1"/>
      <x:c r="D12" s="58"/>
    </x:row>
    <x:row r="13">
      <x:c r="A13" s="59" t="str">
        <x:v>5 quy tắc dữ liệu chuẩn</x:v>
      </x:c>
      <x:c r="B13" s="35" t="str"/>
      <x:c r="C13" s="35" t="str"/>
      <x:c r="D13" s="60" t="str"/>
    </x:row>
    <x:row r="14" ht="32" customHeight="1">
      <x:c r="A14" s="65" t="str">
        <x:v>1</x:v>
      </x:c>
      <x:c r="B14" s="36" t="str">
        <x:v>Một dòng là một vận đơn; không chèn dòng trống giữa các bản ghi.</x:v>
      </x:c>
      <x:c r="C14" s="1"/>
      <x:c r="D14" s="58"/>
    </x:row>
    <x:row r="15" ht="32" customHeight="1">
      <x:c r="A15" s="65" t="str">
        <x:v>2</x:v>
      </x:c>
      <x:c r="B15" s="36" t="str">
        <x:v>Một cột là một trường dữ liệu; không gộp ô trong vùng dữ liệu.</x:v>
      </x:c>
      <x:c r="C15" s="1"/>
      <x:c r="D15" s="58"/>
    </x:row>
    <x:row r="16" ht="32" customHeight="1">
      <x:c r="A16" s="65" t="str">
        <x:v>3</x:v>
      </x:c>
      <x:c r="B16" s="36" t="str">
        <x:v>Tiêu đề cột phải có tên, duy nhất và không để trống.</x:v>
      </x:c>
      <x:c r="C16" s="1"/>
      <x:c r="D16" s="58"/>
    </x:row>
    <x:row r="17" ht="32" customHeight="1">
      <x:c r="A17" s="65" t="str">
        <x:v>4</x:v>
      </x:c>
      <x:c r="B17" s="36" t="str">
        <x:v>Mỗi dòng có một mã vận đơn và một mã cước; mã cước không trùng trong bảng giá.</x:v>
      </x:c>
      <x:c r="C17" s="1"/>
      <x:c r="D17" s="58"/>
    </x:row>
    <x:row r="18" ht="32" customHeight="1">
      <x:c r="A18" s="65" t="str">
        <x:v>5</x:v>
      </x:c>
      <x:c r="B18" s="36" t="str">
        <x:v>Giữ kiểu dữ liệu nhất quán; dùng TRIM để bỏ khoảng trắng đầu/cuối mã tra cứu.</x:v>
      </x:c>
      <x:c r="C18" s="1"/>
      <x:c r="D18" s="58"/>
    </x:row>
    <x:row r="19">
      <x:c r="A19" s="57"/>
      <x:c r="B19" s="1"/>
      <x:c r="C19" s="1"/>
      <x:c r="D19" s="58"/>
    </x:row>
    <x:row r="20">
      <x:c r="A20" s="59" t="str">
        <x:v>Kiểm thử IFERROR với ký tự lạ</x:v>
      </x:c>
      <x:c r="B20" s="35" t="str"/>
      <x:c r="C20" s="35" t="str"/>
      <x:c r="D20" s="60" t="str"/>
    </x:row>
    <x:row r="21">
      <x:c r="A21" s="66" t="str">
        <x:v>Mã cước kiểm thử</x:v>
      </x:c>
      <x:c r="B21" s="46" t="str">
        <x:v>Kết quả tra cứu</x:v>
      </x:c>
      <x:c r="C21" s="1"/>
      <x:c r="D21" s="58"/>
    </x:row>
    <x:row r="22">
      <x:c r="A22" s="67" t="str">
        <x:v>HN_NT*</x:v>
      </x:c>
      <x:c r="B22" s="51" t="str">
        <x:f>IFERROR(VLOOKUP(TRIM(A22),'Giá cước'!$A$2:$D$7,4,FALSE),"Không tìm thấy mã cước - kiểm tra ký tự lạ")</x:f>
        <x:v>Không tìm thấy mã cước - kiểm tra ký tự lạ</x:v>
      </x:c>
      <x:c r="C22" s="1"/>
      <x:c r="D22" s="58"/>
    </x:row>
    <x:row r="23">
      <x:c r="A23" s="57"/>
      <x:c r="B23" s="1"/>
      <x:c r="C23" s="1"/>
      <x:c r="D23" s="58"/>
    </x:row>
    <x:row r="24">
      <x:c r="A24" s="59" t="str">
        <x:v>Sử dụng</x:v>
      </x:c>
      <x:c r="B24" s="35" t="str"/>
      <x:c r="C24" s="35" t="str"/>
      <x:c r="D24" s="60" t="str"/>
    </x:row>
    <x:row r="25" ht="30" customHeight="1">
      <x:c r="A25" s="61" t="str">
        <x:v>Cách dùng</x:v>
      </x:c>
      <x:c r="B25" s="37" t="str">
        <x:v>Nhập mã cước và khối lượng ở sheet Mã vận đơn; cột giá và cước tính tự động.</x:v>
      </x:c>
      <x:c r="C25" s="37" t="str"/>
      <x:c r="D25" s="62" t="str"/>
    </x:row>
    <x:row r="26" ht="30" customHeight="1">
      <x:c r="A26" s="61" t="str">
        <x:v>Mở rộng</x:v>
      </x:c>
      <x:c r="B26" s="37" t="str">
        <x:v>Vùng công thức đã được kéo đến dòng 501 (500 vận đơn); vùng giá tra cứu cố định ở $A$2:$D$7.</x:v>
      </x:c>
      <x:c r="C26" s="37" t="str"/>
      <x:c r="D26" s="62" t="str"/>
    </x:row>
    <x:row r="27" ht="30" customHeight="1">
      <x:c r="A27" s="68" t="str">
        <x:v>Lưu ý</x:v>
      </x:c>
      <x:c r="B27" s="69" t="str">
        <x:v>500 vận đơn và giá cước hiện tại là dữ liệu minh họa, không phải dữ liệu giao dịch thật.</x:v>
      </x:c>
      <x:c r="C27" s="69" t="str"/>
      <x:c r="D27" s="7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2" hidden="0" customWidth="1"/>
    <x:col min="4" max="4" width="31" hidden="0" customWidth="1"/>
    <x:col min="5" max="5" width="17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4" customHeight="1">
      <x:c r="A1" s="6" t="str">
        <x:v>Mã vận đơn</x:v>
      </x:c>
      <x:c r="B1" s="6" t="str">
        <x:v>Mã cước</x:v>
      </x:c>
      <x:c r="C1" s="6" t="str">
        <x:v>Người nhận</x:v>
      </x:c>
      <x:c r="D1" s="6" t="str">
        <x:v>Tuyến giao</x:v>
      </x:c>
      <x:c r="E1" s="6" t="str">
        <x:v>Khối lượng (kg)</x:v>
      </x:c>
      <x:c r="F1" s="6" t="str">
        <x:v>Giá cước/kg (VND)</x:v>
      </x:c>
      <x:c r="G1" s="6" t="str">
        <x:v>Cước dự kiến (VND)</x:v>
      </x:c>
      <x:c r="H1" s="6" t="str">
        <x:v>Trạng thái tra cứu</x:v>
      </x:c>
    </x:row>
    <x:row r="2" ht="21" customHeight="1">
      <x:c r="A2" s="24" t="str">
        <x:v>FM-2026-0001</x:v>
      </x:c>
      <x:c r="B2" s="24" t="str">
        <x:v>HN_NT</x:v>
      </x:c>
      <x:c r="C2" s="21" t="str">
        <x:v>Nguyễn An 001</x:v>
      </x:c>
      <x:c r="D2" s="21" t="str">
        <x:v>Hà Nội nội thành</x:v>
      </x:c>
      <x:c r="E2" s="25" t="n">
        <x:v>1.2</x:v>
      </x:c>
      <x:c r="F2" s="26" t="n">
        <x:f>IF(B2="","",IFERROR(VLOOKUP(TRIM(B2),'Giá cước'!$A$2:$D$7,4,FALSE),"Không tìm thấy mã cước"))</x:f>
        <x:v>12000</x:v>
      </x:c>
      <x:c r="G2" s="26" t="n">
        <x:f>IF(OR(B2="",E2=""),"",IFERROR(E2*F2,""))</x:f>
        <x:v>14400</x:v>
      </x:c>
      <x:c r="H2" s="24" t="str">
        <x:f>IF(B2="","",IF(ISNUMBER(F2),"OK","Cần kiểm tra"))</x:f>
        <x:v>OK</x:v>
      </x:c>
    </x:row>
    <x:row r="3" ht="21" customHeight="1">
      <x:c r="A3" s="24" t="str">
        <x:v>FM-2026-0002</x:v>
      </x:c>
      <x:c r="B3" s="24" t="str">
        <x:v>HN_LT</x:v>
      </x:c>
      <x:c r="C3" s="21" t="str">
        <x:v>Trần Bình 002</x:v>
      </x:c>
      <x:c r="D3" s="21" t="str">
        <x:v>Hà Nội liên tỉnh</x:v>
      </x:c>
      <x:c r="E3" s="25" t="n">
        <x:v>1.9</x:v>
      </x:c>
      <x:c r="F3" s="26" t="n">
        <x:f>IF(B3="","",IFERROR(VLOOKUP(TRIM(B3),'Giá cước'!$A$2:$D$7,4,FALSE),"Không tìm thấy mã cước"))</x:f>
        <x:v>18000</x:v>
      </x:c>
      <x:c r="G3" s="26" t="n">
        <x:f>IF(OR(B3="",E3=""),"",IFERROR(E3*F3,""))</x:f>
        <x:v>34200</x:v>
      </x:c>
      <x:c r="H3" s="24" t="str">
        <x:f>IF(B3="","",IF(ISNUMBER(F3),"OK","Cần kiểm tra"))</x:f>
        <x:v>OK</x:v>
      </x:c>
    </x:row>
    <x:row r="4" ht="21" customHeight="1">
      <x:c r="A4" s="24" t="str">
        <x:v>FM-2026-0003</x:v>
      </x:c>
      <x:c r="B4" s="24" t="str">
        <x:v>HCM_NT</x:v>
      </x:c>
      <x:c r="C4" s="21" t="str">
        <x:v>Lê Chi 003</x:v>
      </x:c>
      <x:c r="D4" s="21" t="str">
        <x:v>TP. Hồ Chí Minh nội thành</x:v>
      </x:c>
      <x:c r="E4" s="25" t="n">
        <x:v>2.6</x:v>
      </x:c>
      <x:c r="F4" s="26" t="n">
        <x:f>IF(B4="","",IFERROR(VLOOKUP(TRIM(B4),'Giá cước'!$A$2:$D$7,4,FALSE),"Không tìm thấy mã cước"))</x:f>
        <x:v>13000</x:v>
      </x:c>
      <x:c r="G4" s="26" t="n">
        <x:f>IF(OR(B4="",E4=""),"",IFERROR(E4*F4,""))</x:f>
        <x:v>33800</x:v>
      </x:c>
      <x:c r="H4" s="24" t="str">
        <x:f>IF(B4="","",IF(ISNUMBER(F4),"OK","Cần kiểm tra"))</x:f>
        <x:v>OK</x:v>
      </x:c>
    </x:row>
    <x:row r="5" ht="21" customHeight="1">
      <x:c r="A5" s="24" t="str">
        <x:v>FM-2026-0004</x:v>
      </x:c>
      <x:c r="B5" s="24" t="str">
        <x:v>HCM_LT</x:v>
      </x:c>
      <x:c r="C5" s="21" t="str">
        <x:v>Phạm Duy 004</x:v>
      </x:c>
      <x:c r="D5" s="21" t="str">
        <x:v>TP. Hồ Chí Minh liên tỉnh</x:v>
      </x:c>
      <x:c r="E5" s="25" t="n">
        <x:v>3.3</x:v>
      </x:c>
      <x:c r="F5" s="26" t="n">
        <x:f>IF(B5="","",IFERROR(VLOOKUP(TRIM(B5),'Giá cước'!$A$2:$D$7,4,FALSE),"Không tìm thấy mã cước"))</x:f>
        <x:v>19500</x:v>
      </x:c>
      <x:c r="G5" s="26" t="n">
        <x:f>IF(OR(B5="",E5=""),"",IFERROR(E5*F5,""))</x:f>
        <x:v>64350</x:v>
      </x:c>
      <x:c r="H5" s="24" t="str">
        <x:f>IF(B5="","",IF(ISNUMBER(F5),"OK","Cần kiểm tra"))</x:f>
        <x:v>OK</x:v>
      </x:c>
    </x:row>
    <x:row r="6" ht="21" customHeight="1">
      <x:c r="A6" s="24" t="str">
        <x:v>FM-2026-0005</x:v>
      </x:c>
      <x:c r="B6" s="24" t="str">
        <x:v>MIEN_TAY</x:v>
      </x:c>
      <x:c r="C6" s="21" t="str">
        <x:v>Võ Hà 005</x:v>
      </x:c>
      <x:c r="D6" s="21" t="str">
        <x:v>Miền Tây</x:v>
      </x:c>
      <x:c r="E6" s="25" t="n">
        <x:v>4</x:v>
      </x:c>
      <x:c r="F6" s="26" t="n">
        <x:f>IF(B6="","",IFERROR(VLOOKUP(TRIM(B6),'Giá cước'!$A$2:$D$7,4,FALSE),"Không tìm thấy mã cước"))</x:f>
        <x:v>22000</x:v>
      </x:c>
      <x:c r="G6" s="26" t="n">
        <x:f>IF(OR(B6="",E6=""),"",IFERROR(E6*F6,""))</x:f>
        <x:v>88000</x:v>
      </x:c>
      <x:c r="H6" s="24" t="str">
        <x:f>IF(B6="","",IF(ISNUMBER(F6),"OK","Cần kiểm tra"))</x:f>
        <x:v>OK</x:v>
      </x:c>
    </x:row>
    <x:row r="7" ht="21" customHeight="1">
      <x:c r="A7" s="24" t="str">
        <x:v>FM-2026-0006</x:v>
      </x:c>
      <x:c r="B7" s="24" t="str">
        <x:v>MIEN_NUI</x:v>
      </x:c>
      <x:c r="C7" s="21" t="str">
        <x:v>Đỗ Khang 006</x:v>
      </x:c>
      <x:c r="D7" s="21" t="str">
        <x:v>Miền núi</x:v>
      </x:c>
      <x:c r="E7" s="25" t="n">
        <x:v>4.7</x:v>
      </x:c>
      <x:c r="F7" s="26" t="n">
        <x:f>IF(B7="","",IFERROR(VLOOKUP(TRIM(B7),'Giá cước'!$A$2:$D$7,4,FALSE),"Không tìm thấy mã cước"))</x:f>
        <x:v>27000</x:v>
      </x:c>
      <x:c r="G7" s="26" t="n">
        <x:f>IF(OR(B7="",E7=""),"",IFERROR(E7*F7,""))</x:f>
        <x:v>126900</x:v>
      </x:c>
      <x:c r="H7" s="24" t="str">
        <x:f>IF(B7="","",IF(ISNUMBER(F7),"OK","Cần kiểm tra"))</x:f>
        <x:v>OK</x:v>
      </x:c>
    </x:row>
    <x:row r="8" ht="21" customHeight="1">
      <x:c r="A8" s="24" t="str">
        <x:v>FM-2026-0007</x:v>
      </x:c>
      <x:c r="B8" s="24" t="str">
        <x:v>HN_NT</x:v>
      </x:c>
      <x:c r="C8" s="21" t="str">
        <x:v>Bùi Lan 007</x:v>
      </x:c>
      <x:c r="D8" s="21" t="str">
        <x:v>Hà Nội nội thành</x:v>
      </x:c>
      <x:c r="E8" s="25" t="n">
        <x:v>5.4</x:v>
      </x:c>
      <x:c r="F8" s="26" t="n">
        <x:f>IF(B8="","",IFERROR(VLOOKUP(TRIM(B8),'Giá cước'!$A$2:$D$7,4,FALSE),"Không tìm thấy mã cước"))</x:f>
        <x:v>12000</x:v>
      </x:c>
      <x:c r="G8" s="26" t="n">
        <x:f>IF(OR(B8="",E8=""),"",IFERROR(E8*F8,""))</x:f>
        <x:v>64800.00000000001</x:v>
      </x:c>
      <x:c r="H8" s="24" t="str">
        <x:f>IF(B8="","",IF(ISNUMBER(F8),"OK","Cần kiểm tra"))</x:f>
        <x:v>OK</x:v>
      </x:c>
    </x:row>
    <x:row r="9" ht="21" customHeight="1">
      <x:c r="A9" s="24" t="str">
        <x:v>FM-2026-0008</x:v>
      </x:c>
      <x:c r="B9" s="24" t="str">
        <x:v>HN_LT</x:v>
      </x:c>
      <x:c r="C9" s="21" t="str">
        <x:v>Hoàng Minh 008</x:v>
      </x:c>
      <x:c r="D9" s="21" t="str">
        <x:v>Hà Nội liên tỉnh</x:v>
      </x:c>
      <x:c r="E9" s="25" t="n">
        <x:v>6.1</x:v>
      </x:c>
      <x:c r="F9" s="26" t="n">
        <x:f>IF(B9="","",IFERROR(VLOOKUP(TRIM(B9),'Giá cước'!$A$2:$D$7,4,FALSE),"Không tìm thấy mã cước"))</x:f>
        <x:v>18000</x:v>
      </x:c>
      <x:c r="G9" s="26" t="n">
        <x:f>IF(OR(B9="",E9=""),"",IFERROR(E9*F9,""))</x:f>
        <x:v>109800</x:v>
      </x:c>
      <x:c r="H9" s="24" t="str">
        <x:f>IF(B9="","",IF(ISNUMBER(F9),"OK","Cần kiểm tra"))</x:f>
        <x:v>OK</x:v>
      </x:c>
    </x:row>
    <x:row r="10" ht="21" customHeight="1">
      <x:c r="A10" s="24" t="str">
        <x:v>FM-2026-0009</x:v>
      </x:c>
      <x:c r="B10" s="24" t="str">
        <x:v>HCM_NT</x:v>
      </x:c>
      <x:c r="C10" s="21" t="str">
        <x:v>Phan Ngọc 009</x:v>
      </x:c>
      <x:c r="D10" s="21" t="str">
        <x:v>TP. Hồ Chí Minh nội thành</x:v>
      </x:c>
      <x:c r="E10" s="25" t="n">
        <x:v>6.8</x:v>
      </x:c>
      <x:c r="F10" s="26" t="n">
        <x:f>IF(B10="","",IFERROR(VLOOKUP(TRIM(B10),'Giá cước'!$A$2:$D$7,4,FALSE),"Không tìm thấy mã cước"))</x:f>
        <x:v>13000</x:v>
      </x:c>
      <x:c r="G10" s="26" t="n">
        <x:f>IF(OR(B10="",E10=""),"",IFERROR(E10*F10,""))</x:f>
        <x:v>88400</x:v>
      </x:c>
      <x:c r="H10" s="24" t="str">
        <x:f>IF(B10="","",IF(ISNUMBER(F10),"OK","Cần kiểm tra"))</x:f>
        <x:v>OK</x:v>
      </x:c>
    </x:row>
    <x:row r="11" ht="21" customHeight="1">
      <x:c r="A11" s="24" t="str">
        <x:v>FM-2026-0010</x:v>
      </x:c>
      <x:c r="B11" s="24" t="str">
        <x:v>HCM_LT</x:v>
      </x:c>
      <x:c r="C11" s="21" t="str">
        <x:v>Đặng Quân 010</x:v>
      </x:c>
      <x:c r="D11" s="21" t="str">
        <x:v>TP. Hồ Chí Minh liên tỉnh</x:v>
      </x:c>
      <x:c r="E11" s="25" t="n">
        <x:v>7.5</x:v>
      </x:c>
      <x:c r="F11" s="26" t="n">
        <x:f>IF(B11="","",IFERROR(VLOOKUP(TRIM(B11),'Giá cước'!$A$2:$D$7,4,FALSE),"Không tìm thấy mã cước"))</x:f>
        <x:v>19500</x:v>
      </x:c>
      <x:c r="G11" s="26" t="n">
        <x:f>IF(OR(B11="",E11=""),"",IFERROR(E11*F11,""))</x:f>
        <x:v>146250</x:v>
      </x:c>
      <x:c r="H11" s="24" t="str">
        <x:f>IF(B11="","",IF(ISNUMBER(F11),"OK","Cần kiểm tra"))</x:f>
        <x:v>OK</x:v>
      </x:c>
    </x:row>
    <x:row r="12" ht="21" customHeight="1">
      <x:c r="A12" s="24" t="str">
        <x:v>FM-2026-0011</x:v>
      </x:c>
      <x:c r="B12" s="24" t="str">
        <x:v>MIEN_TAY</x:v>
      </x:c>
      <x:c r="C12" s="21" t="str">
        <x:v>Nguyễn An 011</x:v>
      </x:c>
      <x:c r="D12" s="21" t="str">
        <x:v>Miền Tây</x:v>
      </x:c>
      <x:c r="E12" s="25" t="n">
        <x:v>8.2</x:v>
      </x:c>
      <x:c r="F12" s="26" t="n">
        <x:f>IF(B12="","",IFERROR(VLOOKUP(TRIM(B12),'Giá cước'!$A$2:$D$7,4,FALSE),"Không tìm thấy mã cước"))</x:f>
        <x:v>22000</x:v>
      </x:c>
      <x:c r="G12" s="26" t="n">
        <x:f>IF(OR(B12="",E12=""),"",IFERROR(E12*F12,""))</x:f>
        <x:v>180399.99999999997</x:v>
      </x:c>
      <x:c r="H12" s="24" t="str">
        <x:f>IF(B12="","",IF(ISNUMBER(F12),"OK","Cần kiểm tra"))</x:f>
        <x:v>OK</x:v>
      </x:c>
    </x:row>
    <x:row r="13" ht="21" customHeight="1">
      <x:c r="A13" s="24" t="str">
        <x:v>FM-2026-0012</x:v>
      </x:c>
      <x:c r="B13" s="24" t="str">
        <x:v> MIEN_NUI </x:v>
      </x:c>
      <x:c r="C13" s="21" t="str">
        <x:v>Trần Bình 012</x:v>
      </x:c>
      <x:c r="D13" s="21" t="str">
        <x:v>Miền núi</x:v>
      </x:c>
      <x:c r="E13" s="25" t="n">
        <x:v>8.9</x:v>
      </x:c>
      <x:c r="F13" s="26" t="n">
        <x:f>IF(B13="","",IFERROR(VLOOKUP(TRIM(B13),'Giá cước'!$A$2:$D$7,4,FALSE),"Không tìm thấy mã cước"))</x:f>
        <x:v>27000</x:v>
      </x:c>
      <x:c r="G13" s="26" t="n">
        <x:f>IF(OR(B13="",E13=""),"",IFERROR(E13*F13,""))</x:f>
        <x:v>240300</x:v>
      </x:c>
      <x:c r="H13" s="24" t="str">
        <x:f>IF(B13="","",IF(ISNUMBER(F13),"OK","Cần kiểm tra"))</x:f>
        <x:v>OK</x:v>
      </x:c>
    </x:row>
    <x:row r="14" ht="21" customHeight="1">
      <x:c r="A14" s="24" t="str">
        <x:v>FM-2026-0013</x:v>
      </x:c>
      <x:c r="B14" s="24" t="str">
        <x:v>HN_NT</x:v>
      </x:c>
      <x:c r="C14" s="21" t="str">
        <x:v>Lê Chi 013</x:v>
      </x:c>
      <x:c r="D14" s="21" t="str">
        <x:v>Hà Nội nội thành</x:v>
      </x:c>
      <x:c r="E14" s="25" t="n">
        <x:v>9.6</x:v>
      </x:c>
      <x:c r="F14" s="26" t="n">
        <x:f>IF(B14="","",IFERROR(VLOOKUP(TRIM(B14),'Giá cước'!$A$2:$D$7,4,FALSE),"Không tìm thấy mã cước"))</x:f>
        <x:v>12000</x:v>
      </x:c>
      <x:c r="G14" s="26" t="n">
        <x:f>IF(OR(B14="",E14=""),"",IFERROR(E14*F14,""))</x:f>
        <x:v>115200</x:v>
      </x:c>
      <x:c r="H14" s="24" t="str">
        <x:f>IF(B14="","",IF(ISNUMBER(F14),"OK","Cần kiểm tra"))</x:f>
        <x:v>OK</x:v>
      </x:c>
    </x:row>
    <x:row r="15" ht="21" customHeight="1">
      <x:c r="A15" s="24" t="str">
        <x:v>FM-2026-0014</x:v>
      </x:c>
      <x:c r="B15" s="24" t="str">
        <x:v>HN_LT</x:v>
      </x:c>
      <x:c r="C15" s="21" t="str">
        <x:v>Phạm Duy 014</x:v>
      </x:c>
      <x:c r="D15" s="21" t="str">
        <x:v>Hà Nội liên tỉnh</x:v>
      </x:c>
      <x:c r="E15" s="25" t="n">
        <x:v>10.3</x:v>
      </x:c>
      <x:c r="F15" s="26" t="n">
        <x:f>IF(B15="","",IFERROR(VLOOKUP(TRIM(B15),'Giá cước'!$A$2:$D$7,4,FALSE),"Không tìm thấy mã cước"))</x:f>
        <x:v>18000</x:v>
      </x:c>
      <x:c r="G15" s="26" t="n">
        <x:f>IF(OR(B15="",E15=""),"",IFERROR(E15*F15,""))</x:f>
        <x:v>185400</x:v>
      </x:c>
      <x:c r="H15" s="24" t="str">
        <x:f>IF(B15="","",IF(ISNUMBER(F15),"OK","Cần kiểm tra"))</x:f>
        <x:v>OK</x:v>
      </x:c>
    </x:row>
    <x:row r="16" ht="21" customHeight="1">
      <x:c r="A16" s="24" t="str">
        <x:v>FM-2026-0015</x:v>
      </x:c>
      <x:c r="B16" s="24" t="str">
        <x:v>HCM_NT</x:v>
      </x:c>
      <x:c r="C16" s="21" t="str">
        <x:v>Võ Hà 015</x:v>
      </x:c>
      <x:c r="D16" s="21" t="str">
        <x:v>TP. Hồ Chí Minh nội thành</x:v>
      </x:c>
      <x:c r="E16" s="25" t="n">
        <x:v>11</x:v>
      </x:c>
      <x:c r="F16" s="26" t="n">
        <x:f>IF(B16="","",IFERROR(VLOOKUP(TRIM(B16),'Giá cước'!$A$2:$D$7,4,FALSE),"Không tìm thấy mã cước"))</x:f>
        <x:v>13000</x:v>
      </x:c>
      <x:c r="G16" s="26" t="n">
        <x:f>IF(OR(B16="",E16=""),"",IFERROR(E16*F16,""))</x:f>
        <x:v>143000</x:v>
      </x:c>
      <x:c r="H16" s="24" t="str">
        <x:f>IF(B16="","",IF(ISNUMBER(F16),"OK","Cần kiểm tra"))</x:f>
        <x:v>OK</x:v>
      </x:c>
    </x:row>
    <x:row r="17" ht="21" customHeight="1">
      <x:c r="A17" s="24" t="str">
        <x:v>FM-2026-0016</x:v>
      </x:c>
      <x:c r="B17" s="24" t="str">
        <x:v>HCM_LT</x:v>
      </x:c>
      <x:c r="C17" s="21" t="str">
        <x:v>Đỗ Khang 016</x:v>
      </x:c>
      <x:c r="D17" s="21" t="str">
        <x:v>TP. Hồ Chí Minh liên tỉnh</x:v>
      </x:c>
      <x:c r="E17" s="25" t="n">
        <x:v>11.7</x:v>
      </x:c>
      <x:c r="F17" s="26" t="n">
        <x:f>IF(B17="","",IFERROR(VLOOKUP(TRIM(B17),'Giá cước'!$A$2:$D$7,4,FALSE),"Không tìm thấy mã cước"))</x:f>
        <x:v>19500</x:v>
      </x:c>
      <x:c r="G17" s="26" t="n">
        <x:f>IF(OR(B17="",E17=""),"",IFERROR(E17*F17,""))</x:f>
        <x:v>228150</x:v>
      </x:c>
      <x:c r="H17" s="24" t="str">
        <x:f>IF(B17="","",IF(ISNUMBER(F17),"OK","Cần kiểm tra"))</x:f>
        <x:v>OK</x:v>
      </x:c>
    </x:row>
    <x:row r="18" ht="21" customHeight="1">
      <x:c r="A18" s="24" t="str">
        <x:v>FM-2026-0017</x:v>
      </x:c>
      <x:c r="B18" s="24" t="str">
        <x:v>MIEN_TAY</x:v>
      </x:c>
      <x:c r="C18" s="21" t="str">
        <x:v>Bùi Lan 017</x:v>
      </x:c>
      <x:c r="D18" s="21" t="str">
        <x:v>Miền Tây</x:v>
      </x:c>
      <x:c r="E18" s="25" t="n">
        <x:v>12.4</x:v>
      </x:c>
      <x:c r="F18" s="26" t="n">
        <x:f>IF(B18="","",IFERROR(VLOOKUP(TRIM(B18),'Giá cước'!$A$2:$D$7,4,FALSE),"Không tìm thấy mã cước"))</x:f>
        <x:v>22000</x:v>
      </x:c>
      <x:c r="G18" s="26" t="n">
        <x:f>IF(OR(B18="",E18=""),"",IFERROR(E18*F18,""))</x:f>
        <x:v>272800</x:v>
      </x:c>
      <x:c r="H18" s="24" t="str">
        <x:f>IF(B18="","",IF(ISNUMBER(F18),"OK","Cần kiểm tra"))</x:f>
        <x:v>OK</x:v>
      </x:c>
    </x:row>
    <x:row r="19" ht="21" customHeight="1">
      <x:c r="A19" s="24" t="str">
        <x:v>FM-2026-0018</x:v>
      </x:c>
      <x:c r="B19" s="24" t="str">
        <x:v>MIEN_NUI</x:v>
      </x:c>
      <x:c r="C19" s="21" t="str">
        <x:v>Hoàng Minh 018</x:v>
      </x:c>
      <x:c r="D19" s="21" t="str">
        <x:v>Miền núi</x:v>
      </x:c>
      <x:c r="E19" s="25" t="n">
        <x:v>1.1</x:v>
      </x:c>
      <x:c r="F19" s="26" t="n">
        <x:f>IF(B19="","",IFERROR(VLOOKUP(TRIM(B19),'Giá cước'!$A$2:$D$7,4,FALSE),"Không tìm thấy mã cước"))</x:f>
        <x:v>27000</x:v>
      </x:c>
      <x:c r="G19" s="26" t="n">
        <x:f>IF(OR(B19="",E19=""),"",IFERROR(E19*F19,""))</x:f>
        <x:v>29700.000000000004</x:v>
      </x:c>
      <x:c r="H19" s="24" t="str">
        <x:f>IF(B19="","",IF(ISNUMBER(F19),"OK","Cần kiểm tra"))</x:f>
        <x:v>OK</x:v>
      </x:c>
    </x:row>
    <x:row r="20" ht="21" customHeight="1">
      <x:c r="A20" s="24" t="str">
        <x:v>FM-2026-0019</x:v>
      </x:c>
      <x:c r="B20" s="24" t="str">
        <x:v>HN_NT</x:v>
      </x:c>
      <x:c r="C20" s="21" t="str">
        <x:v>Phan Ngọc 019</x:v>
      </x:c>
      <x:c r="D20" s="21" t="str">
        <x:v>Hà Nội nội thành</x:v>
      </x:c>
      <x:c r="E20" s="25" t="n">
        <x:v>1.8</x:v>
      </x:c>
      <x:c r="F20" s="26" t="n">
        <x:f>IF(B20="","",IFERROR(VLOOKUP(TRIM(B20),'Giá cước'!$A$2:$D$7,4,FALSE),"Không tìm thấy mã cước"))</x:f>
        <x:v>12000</x:v>
      </x:c>
      <x:c r="G20" s="26" t="n">
        <x:f>IF(OR(B20="",E20=""),"",IFERROR(E20*F20,""))</x:f>
        <x:v>21600</x:v>
      </x:c>
      <x:c r="H20" s="24" t="str">
        <x:f>IF(B20="","",IF(ISNUMBER(F20),"OK","Cần kiểm tra"))</x:f>
        <x:v>OK</x:v>
      </x:c>
    </x:row>
    <x:row r="21" ht="21" customHeight="1">
      <x:c r="A21" s="24" t="str">
        <x:v>FM-2026-0020</x:v>
      </x:c>
      <x:c r="B21" s="24" t="str">
        <x:v>HN_LT</x:v>
      </x:c>
      <x:c r="C21" s="21" t="str">
        <x:v>Đặng Quân 020</x:v>
      </x:c>
      <x:c r="D21" s="21" t="str">
        <x:v>Hà Nội liên tỉnh</x:v>
      </x:c>
      <x:c r="E21" s="25" t="n">
        <x:v>2.5</x:v>
      </x:c>
      <x:c r="F21" s="26" t="n">
        <x:f>IF(B21="","",IFERROR(VLOOKUP(TRIM(B21),'Giá cước'!$A$2:$D$7,4,FALSE),"Không tìm thấy mã cước"))</x:f>
        <x:v>18000</x:v>
      </x:c>
      <x:c r="G21" s="26" t="n">
        <x:f>IF(OR(B21="",E21=""),"",IFERROR(E21*F21,""))</x:f>
        <x:v>45000</x:v>
      </x:c>
      <x:c r="H21" s="24" t="str">
        <x:f>IF(B21="","",IF(ISNUMBER(F21),"OK","Cần kiểm tra"))</x:f>
        <x:v>OK</x:v>
      </x:c>
    </x:row>
    <x:row r="22" ht="21" customHeight="1">
      <x:c r="A22" s="24" t="str">
        <x:v>FM-2026-0021</x:v>
      </x:c>
      <x:c r="B22" s="24" t="str">
        <x:v>HCM_NT</x:v>
      </x:c>
      <x:c r="C22" s="21" t="str">
        <x:v>Nguyễn An 021</x:v>
      </x:c>
      <x:c r="D22" s="21" t="str">
        <x:v>TP. Hồ Chí Minh nội thành</x:v>
      </x:c>
      <x:c r="E22" s="25" t="n">
        <x:v>3.2</x:v>
      </x:c>
      <x:c r="F22" s="26" t="n">
        <x:f>IF(B22="","",IFERROR(VLOOKUP(TRIM(B22),'Giá cước'!$A$2:$D$7,4,FALSE),"Không tìm thấy mã cước"))</x:f>
        <x:v>13000</x:v>
      </x:c>
      <x:c r="G22" s="26" t="n">
        <x:f>IF(OR(B22="",E22=""),"",IFERROR(E22*F22,""))</x:f>
        <x:v>41600</x:v>
      </x:c>
      <x:c r="H22" s="24" t="str">
        <x:f>IF(B22="","",IF(ISNUMBER(F22),"OK","Cần kiểm tra"))</x:f>
        <x:v>OK</x:v>
      </x:c>
    </x:row>
    <x:row r="23" ht="21" customHeight="1">
      <x:c r="A23" s="24" t="str">
        <x:v>FM-2026-0022</x:v>
      </x:c>
      <x:c r="B23" s="24" t="str">
        <x:v>HCM_LT</x:v>
      </x:c>
      <x:c r="C23" s="21" t="str">
        <x:v>Trần Bình 022</x:v>
      </x:c>
      <x:c r="D23" s="21" t="str">
        <x:v>TP. Hồ Chí Minh liên tỉnh</x:v>
      </x:c>
      <x:c r="E23" s="25" t="n">
        <x:v>3.9</x:v>
      </x:c>
      <x:c r="F23" s="26" t="n">
        <x:f>IF(B23="","",IFERROR(VLOOKUP(TRIM(B23),'Giá cước'!$A$2:$D$7,4,FALSE),"Không tìm thấy mã cước"))</x:f>
        <x:v>19500</x:v>
      </x:c>
      <x:c r="G23" s="26" t="n">
        <x:f>IF(OR(B23="",E23=""),"",IFERROR(E23*F23,""))</x:f>
        <x:v>76050</x:v>
      </x:c>
      <x:c r="H23" s="24" t="str">
        <x:f>IF(B23="","",IF(ISNUMBER(F23),"OK","Cần kiểm tra"))</x:f>
        <x:v>OK</x:v>
      </x:c>
    </x:row>
    <x:row r="24" ht="21" customHeight="1">
      <x:c r="A24" s="24" t="str">
        <x:v>FM-2026-0023</x:v>
      </x:c>
      <x:c r="B24" s="24" t="str">
        <x:v>MIEN_TAY</x:v>
      </x:c>
      <x:c r="C24" s="21" t="str">
        <x:v>Lê Chi 023</x:v>
      </x:c>
      <x:c r="D24" s="21" t="str">
        <x:v>Miền Tây</x:v>
      </x:c>
      <x:c r="E24" s="25" t="n">
        <x:v>4.6</x:v>
      </x:c>
      <x:c r="F24" s="26" t="n">
        <x:f>IF(B24="","",IFERROR(VLOOKUP(TRIM(B24),'Giá cước'!$A$2:$D$7,4,FALSE),"Không tìm thấy mã cước"))</x:f>
        <x:v>22000</x:v>
      </x:c>
      <x:c r="G24" s="26" t="n">
        <x:f>IF(OR(B24="",E24=""),"",IFERROR(E24*F24,""))</x:f>
        <x:v>101199.99999999999</x:v>
      </x:c>
      <x:c r="H24" s="24" t="str">
        <x:f>IF(B24="","",IF(ISNUMBER(F24),"OK","Cần kiểm tra"))</x:f>
        <x:v>OK</x:v>
      </x:c>
    </x:row>
    <x:row r="25" ht="21" customHeight="1">
      <x:c r="A25" s="24" t="str">
        <x:v>FM-2026-0024</x:v>
      </x:c>
      <x:c r="B25" s="24" t="str">
        <x:v>MIEN_NUI</x:v>
      </x:c>
      <x:c r="C25" s="21" t="str">
        <x:v>Phạm Duy 024</x:v>
      </x:c>
      <x:c r="D25" s="21" t="str">
        <x:v>Miền núi</x:v>
      </x:c>
      <x:c r="E25" s="25" t="n">
        <x:v>5.3</x:v>
      </x:c>
      <x:c r="F25" s="26" t="n">
        <x:f>IF(B25="","",IFERROR(VLOOKUP(TRIM(B25),'Giá cước'!$A$2:$D$7,4,FALSE),"Không tìm thấy mã cước"))</x:f>
        <x:v>27000</x:v>
      </x:c>
      <x:c r="G25" s="26" t="n">
        <x:f>IF(OR(B25="",E25=""),"",IFERROR(E25*F25,""))</x:f>
        <x:v>143100</x:v>
      </x:c>
      <x:c r="H25" s="24" t="str">
        <x:f>IF(B25="","",IF(ISNUMBER(F25),"OK","Cần kiểm tra"))</x:f>
        <x:v>OK</x:v>
      </x:c>
    </x:row>
    <x:row r="26" ht="21" customHeight="1">
      <x:c r="A26" s="24" t="str">
        <x:v>FM-2026-0025</x:v>
      </x:c>
      <x:c r="B26" s="24" t="str">
        <x:v>HN_NT</x:v>
      </x:c>
      <x:c r="C26" s="21" t="str">
        <x:v>Võ Hà 025</x:v>
      </x:c>
      <x:c r="D26" s="21" t="str">
        <x:v>Hà Nội nội thành</x:v>
      </x:c>
      <x:c r="E26" s="25" t="n">
        <x:v>6</x:v>
      </x:c>
      <x:c r="F26" s="26" t="n">
        <x:f>IF(B26="","",IFERROR(VLOOKUP(TRIM(B26),'Giá cước'!$A$2:$D$7,4,FALSE),"Không tìm thấy mã cước"))</x:f>
        <x:v>12000</x:v>
      </x:c>
      <x:c r="G26" s="26" t="n">
        <x:f>IF(OR(B26="",E26=""),"",IFERROR(E26*F26,""))</x:f>
        <x:v>72000</x:v>
      </x:c>
      <x:c r="H26" s="24" t="str">
        <x:f>IF(B26="","",IF(ISNUMBER(F26),"OK","Cần kiểm tra"))</x:f>
        <x:v>OK</x:v>
      </x:c>
    </x:row>
    <x:row r="27" ht="21" customHeight="1">
      <x:c r="A27" s="24" t="str">
        <x:v>FM-2026-0026</x:v>
      </x:c>
      <x:c r="B27" s="24" t="str">
        <x:v>HN_LT</x:v>
      </x:c>
      <x:c r="C27" s="21" t="str">
        <x:v>Đỗ Khang 026</x:v>
      </x:c>
      <x:c r="D27" s="21" t="str">
        <x:v>Hà Nội liên tỉnh</x:v>
      </x:c>
      <x:c r="E27" s="25" t="n">
        <x:v>6.7</x:v>
      </x:c>
      <x:c r="F27" s="26" t="n">
        <x:f>IF(B27="","",IFERROR(VLOOKUP(TRIM(B27),'Giá cước'!$A$2:$D$7,4,FALSE),"Không tìm thấy mã cước"))</x:f>
        <x:v>18000</x:v>
      </x:c>
      <x:c r="G27" s="26" t="n">
        <x:f>IF(OR(B27="",E27=""),"",IFERROR(E27*F27,""))</x:f>
        <x:v>120600</x:v>
      </x:c>
      <x:c r="H27" s="24" t="str">
        <x:f>IF(B27="","",IF(ISNUMBER(F27),"OK","Cần kiểm tra"))</x:f>
        <x:v>OK</x:v>
      </x:c>
    </x:row>
    <x:row r="28" ht="21" customHeight="1">
      <x:c r="A28" s="24" t="str">
        <x:v>FM-2026-0027</x:v>
      </x:c>
      <x:c r="B28" s="24" t="str">
        <x:v>HCM_NT</x:v>
      </x:c>
      <x:c r="C28" s="21" t="str">
        <x:v>Bùi Lan 027</x:v>
      </x:c>
      <x:c r="D28" s="21" t="str">
        <x:v>TP. Hồ Chí Minh nội thành</x:v>
      </x:c>
      <x:c r="E28" s="25" t="n">
        <x:v>7.4</x:v>
      </x:c>
      <x:c r="F28" s="26" t="n">
        <x:f>IF(B28="","",IFERROR(VLOOKUP(TRIM(B28),'Giá cước'!$A$2:$D$7,4,FALSE),"Không tìm thấy mã cước"))</x:f>
        <x:v>13000</x:v>
      </x:c>
      <x:c r="G28" s="26" t="n">
        <x:f>IF(OR(B28="",E28=""),"",IFERROR(E28*F28,""))</x:f>
        <x:v>96200</x:v>
      </x:c>
      <x:c r="H28" s="24" t="str">
        <x:f>IF(B28="","",IF(ISNUMBER(F28),"OK","Cần kiểm tra"))</x:f>
        <x:v>OK</x:v>
      </x:c>
    </x:row>
    <x:row r="29" ht="21" customHeight="1">
      <x:c r="A29" s="24" t="str">
        <x:v>FM-2026-0028</x:v>
      </x:c>
      <x:c r="B29" s="24" t="str">
        <x:v>HCM_LT</x:v>
      </x:c>
      <x:c r="C29" s="21" t="str">
        <x:v>Hoàng Minh 028</x:v>
      </x:c>
      <x:c r="D29" s="21" t="str">
        <x:v>TP. Hồ Chí Minh liên tỉnh</x:v>
      </x:c>
      <x:c r="E29" s="25" t="n">
        <x:v>8.1</x:v>
      </x:c>
      <x:c r="F29" s="26" t="n">
        <x:f>IF(B29="","",IFERROR(VLOOKUP(TRIM(B29),'Giá cước'!$A$2:$D$7,4,FALSE),"Không tìm thấy mã cước"))</x:f>
        <x:v>19500</x:v>
      </x:c>
      <x:c r="G29" s="26" t="n">
        <x:f>IF(OR(B29="",E29=""),"",IFERROR(E29*F29,""))</x:f>
        <x:v>157950</x:v>
      </x:c>
      <x:c r="H29" s="24" t="str">
        <x:f>IF(B29="","",IF(ISNUMBER(F29),"OK","Cần kiểm tra"))</x:f>
        <x:v>OK</x:v>
      </x:c>
    </x:row>
    <x:row r="30" ht="21" customHeight="1">
      <x:c r="A30" s="24" t="str">
        <x:v>FM-2026-0029</x:v>
      </x:c>
      <x:c r="B30" s="24" t="str">
        <x:v>MIEN_TAY</x:v>
      </x:c>
      <x:c r="C30" s="21" t="str">
        <x:v>Phan Ngọc 029</x:v>
      </x:c>
      <x:c r="D30" s="21" t="str">
        <x:v>Miền Tây</x:v>
      </x:c>
      <x:c r="E30" s="25" t="n">
        <x:v>8.8</x:v>
      </x:c>
      <x:c r="F30" s="26" t="n">
        <x:f>IF(B30="","",IFERROR(VLOOKUP(TRIM(B30),'Giá cước'!$A$2:$D$7,4,FALSE),"Không tìm thấy mã cước"))</x:f>
        <x:v>22000</x:v>
      </x:c>
      <x:c r="G30" s="26" t="n">
        <x:f>IF(OR(B30="",E30=""),"",IFERROR(E30*F30,""))</x:f>
        <x:v>193600.00000000003</x:v>
      </x:c>
      <x:c r="H30" s="24" t="str">
        <x:f>IF(B30="","",IF(ISNUMBER(F30),"OK","Cần kiểm tra"))</x:f>
        <x:v>OK</x:v>
      </x:c>
    </x:row>
    <x:row r="31" ht="21" customHeight="1">
      <x:c r="A31" s="24" t="str">
        <x:v>FM-2026-0030</x:v>
      </x:c>
      <x:c r="B31" s="24" t="str">
        <x:v>MIEN_NUI</x:v>
      </x:c>
      <x:c r="C31" s="21" t="str">
        <x:v>Đặng Quân 030</x:v>
      </x:c>
      <x:c r="D31" s="21" t="str">
        <x:v>Miền núi</x:v>
      </x:c>
      <x:c r="E31" s="25" t="n">
        <x:v>9.5</x:v>
      </x:c>
      <x:c r="F31" s="26" t="n">
        <x:f>IF(B31="","",IFERROR(VLOOKUP(TRIM(B31),'Giá cước'!$A$2:$D$7,4,FALSE),"Không tìm thấy mã cước"))</x:f>
        <x:v>27000</x:v>
      </x:c>
      <x:c r="G31" s="26" t="n">
        <x:f>IF(OR(B31="",E31=""),"",IFERROR(E31*F31,""))</x:f>
        <x:v>256500</x:v>
      </x:c>
      <x:c r="H31" s="24" t="str">
        <x:f>IF(B31="","",IF(ISNUMBER(F31),"OK","Cần kiểm tra"))</x:f>
        <x:v>OK</x:v>
      </x:c>
    </x:row>
    <x:row r="32" ht="21" customHeight="1">
      <x:c r="A32" s="24" t="str">
        <x:v>FM-2026-0031</x:v>
      </x:c>
      <x:c r="B32" s="24" t="str">
        <x:v>HN_NT</x:v>
      </x:c>
      <x:c r="C32" s="21" t="str">
        <x:v>Nguyễn An 031</x:v>
      </x:c>
      <x:c r="D32" s="21" t="str">
        <x:v>Hà Nội nội thành</x:v>
      </x:c>
      <x:c r="E32" s="25" t="n">
        <x:v>10.2</x:v>
      </x:c>
      <x:c r="F32" s="26" t="n">
        <x:f>IF(B32="","",IFERROR(VLOOKUP(TRIM(B32),'Giá cước'!$A$2:$D$7,4,FALSE),"Không tìm thấy mã cước"))</x:f>
        <x:v>12000</x:v>
      </x:c>
      <x:c r="G32" s="26" t="n">
        <x:f>IF(OR(B32="",E32=""),"",IFERROR(E32*F32,""))</x:f>
        <x:v>122399.99999999999</x:v>
      </x:c>
      <x:c r="H32" s="24" t="str">
        <x:f>IF(B32="","",IF(ISNUMBER(F32),"OK","Cần kiểm tra"))</x:f>
        <x:v>OK</x:v>
      </x:c>
    </x:row>
    <x:row r="33" ht="21" customHeight="1">
      <x:c r="A33" s="24" t="str">
        <x:v>FM-2026-0032</x:v>
      </x:c>
      <x:c r="B33" s="24" t="str">
        <x:v>HN_LT</x:v>
      </x:c>
      <x:c r="C33" s="21" t="str">
        <x:v>Trần Bình 032</x:v>
      </x:c>
      <x:c r="D33" s="21" t="str">
        <x:v>Hà Nội liên tỉnh</x:v>
      </x:c>
      <x:c r="E33" s="25" t="n">
        <x:v>10.9</x:v>
      </x:c>
      <x:c r="F33" s="26" t="n">
        <x:f>IF(B33="","",IFERROR(VLOOKUP(TRIM(B33),'Giá cước'!$A$2:$D$7,4,FALSE),"Không tìm thấy mã cước"))</x:f>
        <x:v>18000</x:v>
      </x:c>
      <x:c r="G33" s="26" t="n">
        <x:f>IF(OR(B33="",E33=""),"",IFERROR(E33*F33,""))</x:f>
        <x:v>196200</x:v>
      </x:c>
      <x:c r="H33" s="24" t="str">
        <x:f>IF(B33="","",IF(ISNUMBER(F33),"OK","Cần kiểm tra"))</x:f>
        <x:v>OK</x:v>
      </x:c>
    </x:row>
    <x:row r="34" ht="21" customHeight="1">
      <x:c r="A34" s="24" t="str">
        <x:v>FM-2026-0033</x:v>
      </x:c>
      <x:c r="B34" s="24" t="str">
        <x:v>HCM_NT</x:v>
      </x:c>
      <x:c r="C34" s="21" t="str">
        <x:v>Lê Chi 033</x:v>
      </x:c>
      <x:c r="D34" s="21" t="str">
        <x:v>TP. Hồ Chí Minh nội thành</x:v>
      </x:c>
      <x:c r="E34" s="25" t="n">
        <x:v>11.6</x:v>
      </x:c>
      <x:c r="F34" s="26" t="n">
        <x:f>IF(B34="","",IFERROR(VLOOKUP(TRIM(B34),'Giá cước'!$A$2:$D$7,4,FALSE),"Không tìm thấy mã cước"))</x:f>
        <x:v>13000</x:v>
      </x:c>
      <x:c r="G34" s="26" t="n">
        <x:f>IF(OR(B34="",E34=""),"",IFERROR(E34*F34,""))</x:f>
        <x:v>150800</x:v>
      </x:c>
      <x:c r="H34" s="24" t="str">
        <x:f>IF(B34="","",IF(ISNUMBER(F34),"OK","Cần kiểm tra"))</x:f>
        <x:v>OK</x:v>
      </x:c>
    </x:row>
    <x:row r="35" ht="21" customHeight="1">
      <x:c r="A35" s="24" t="str">
        <x:v>FM-2026-0034</x:v>
      </x:c>
      <x:c r="B35" s="24" t="str">
        <x:v>HCM_LT</x:v>
      </x:c>
      <x:c r="C35" s="21" t="str">
        <x:v>Phạm Duy 034</x:v>
      </x:c>
      <x:c r="D35" s="21" t="str">
        <x:v>TP. Hồ Chí Minh liên tỉnh</x:v>
      </x:c>
      <x:c r="E35" s="25" t="n">
        <x:v>12.3</x:v>
      </x:c>
      <x:c r="F35" s="26" t="n">
        <x:f>IF(B35="","",IFERROR(VLOOKUP(TRIM(B35),'Giá cước'!$A$2:$D$7,4,FALSE),"Không tìm thấy mã cước"))</x:f>
        <x:v>19500</x:v>
      </x:c>
      <x:c r="G35" s="26" t="n">
        <x:f>IF(OR(B35="",E35=""),"",IFERROR(E35*F35,""))</x:f>
        <x:v>239850</x:v>
      </x:c>
      <x:c r="H35" s="24" t="str">
        <x:f>IF(B35="","",IF(ISNUMBER(F35),"OK","Cần kiểm tra"))</x:f>
        <x:v>OK</x:v>
      </x:c>
    </x:row>
    <x:row r="36" ht="21" customHeight="1">
      <x:c r="A36" s="24" t="str">
        <x:v>FM-2026-0035</x:v>
      </x:c>
      <x:c r="B36" s="24" t="str">
        <x:v>MIEN_TAY</x:v>
      </x:c>
      <x:c r="C36" s="21" t="str">
        <x:v>Võ Hà 035</x:v>
      </x:c>
      <x:c r="D36" s="21" t="str">
        <x:v>Miền Tây</x:v>
      </x:c>
      <x:c r="E36" s="25" t="n">
        <x:v>1</x:v>
      </x:c>
      <x:c r="F36" s="26" t="n">
        <x:f>IF(B36="","",IFERROR(VLOOKUP(TRIM(B36),'Giá cước'!$A$2:$D$7,4,FALSE),"Không tìm thấy mã cước"))</x:f>
        <x:v>22000</x:v>
      </x:c>
      <x:c r="G36" s="26" t="n">
        <x:f>IF(OR(B36="",E36=""),"",IFERROR(E36*F36,""))</x:f>
        <x:v>22000</x:v>
      </x:c>
      <x:c r="H36" s="24" t="str">
        <x:f>IF(B36="","",IF(ISNUMBER(F36),"OK","Cần kiểm tra"))</x:f>
        <x:v>OK</x:v>
      </x:c>
    </x:row>
    <x:row r="37" ht="21" customHeight="1">
      <x:c r="A37" s="24" t="str">
        <x:v>FM-2026-0036</x:v>
      </x:c>
      <x:c r="B37" s="24" t="str">
        <x:v>MIEN_NUI</x:v>
      </x:c>
      <x:c r="C37" s="21" t="str">
        <x:v>Đỗ Khang 036</x:v>
      </x:c>
      <x:c r="D37" s="21" t="str">
        <x:v>Miền núi</x:v>
      </x:c>
      <x:c r="E37" s="25" t="n">
        <x:v>1.7</x:v>
      </x:c>
      <x:c r="F37" s="26" t="n">
        <x:f>IF(B37="","",IFERROR(VLOOKUP(TRIM(B37),'Giá cước'!$A$2:$D$7,4,FALSE),"Không tìm thấy mã cước"))</x:f>
        <x:v>27000</x:v>
      </x:c>
      <x:c r="G37" s="26" t="n">
        <x:f>IF(OR(B37="",E37=""),"",IFERROR(E37*F37,""))</x:f>
        <x:v>45900</x:v>
      </x:c>
      <x:c r="H37" s="24" t="str">
        <x:f>IF(B37="","",IF(ISNUMBER(F37),"OK","Cần kiểm tra"))</x:f>
        <x:v>OK</x:v>
      </x:c>
    </x:row>
    <x:row r="38" ht="21" customHeight="1">
      <x:c r="A38" s="24" t="str">
        <x:v>FM-2026-0037</x:v>
      </x:c>
      <x:c r="B38" s="24" t="str">
        <x:v>HN_NT</x:v>
      </x:c>
      <x:c r="C38" s="21" t="str">
        <x:v>Bùi Lan 037</x:v>
      </x:c>
      <x:c r="D38" s="21" t="str">
        <x:v>Hà Nội nội thành</x:v>
      </x:c>
      <x:c r="E38" s="25" t="n">
        <x:v>2.4</x:v>
      </x:c>
      <x:c r="F38" s="26" t="n">
        <x:f>IF(B38="","",IFERROR(VLOOKUP(TRIM(B38),'Giá cước'!$A$2:$D$7,4,FALSE),"Không tìm thấy mã cước"))</x:f>
        <x:v>12000</x:v>
      </x:c>
      <x:c r="G38" s="26" t="n">
        <x:f>IF(OR(B38="",E38=""),"",IFERROR(E38*F38,""))</x:f>
        <x:v>28800</x:v>
      </x:c>
      <x:c r="H38" s="24" t="str">
        <x:f>IF(B38="","",IF(ISNUMBER(F38),"OK","Cần kiểm tra"))</x:f>
        <x:v>OK</x:v>
      </x:c>
    </x:row>
    <x:row r="39" ht="21" customHeight="1">
      <x:c r="A39" s="24" t="str">
        <x:v>FM-2026-0038</x:v>
      </x:c>
      <x:c r="B39" s="24" t="str">
        <x:v>HN_LT</x:v>
      </x:c>
      <x:c r="C39" s="21" t="str">
        <x:v>Hoàng Minh 038</x:v>
      </x:c>
      <x:c r="D39" s="21" t="str">
        <x:v>Hà Nội liên tỉnh</x:v>
      </x:c>
      <x:c r="E39" s="25" t="n">
        <x:v>3.1</x:v>
      </x:c>
      <x:c r="F39" s="26" t="n">
        <x:f>IF(B39="","",IFERROR(VLOOKUP(TRIM(B39),'Giá cước'!$A$2:$D$7,4,FALSE),"Không tìm thấy mã cước"))</x:f>
        <x:v>18000</x:v>
      </x:c>
      <x:c r="G39" s="26" t="n">
        <x:f>IF(OR(B39="",E39=""),"",IFERROR(E39*F39,""))</x:f>
        <x:v>55800</x:v>
      </x:c>
      <x:c r="H39" s="24" t="str">
        <x:f>IF(B39="","",IF(ISNUMBER(F39),"OK","Cần kiểm tra"))</x:f>
        <x:v>OK</x:v>
      </x:c>
    </x:row>
    <x:row r="40" ht="21" customHeight="1">
      <x:c r="A40" s="24" t="str">
        <x:v>FM-2026-0039</x:v>
      </x:c>
      <x:c r="B40" s="24" t="str">
        <x:v>HCM_NT</x:v>
      </x:c>
      <x:c r="C40" s="21" t="str">
        <x:v>Phan Ngọc 039</x:v>
      </x:c>
      <x:c r="D40" s="21" t="str">
        <x:v>TP. Hồ Chí Minh nội thành</x:v>
      </x:c>
      <x:c r="E40" s="25" t="n">
        <x:v>3.8</x:v>
      </x:c>
      <x:c r="F40" s="26" t="n">
        <x:f>IF(B40="","",IFERROR(VLOOKUP(TRIM(B40),'Giá cước'!$A$2:$D$7,4,FALSE),"Không tìm thấy mã cước"))</x:f>
        <x:v>13000</x:v>
      </x:c>
      <x:c r="G40" s="26" t="n">
        <x:f>IF(OR(B40="",E40=""),"",IFERROR(E40*F40,""))</x:f>
        <x:v>49400</x:v>
      </x:c>
      <x:c r="H40" s="24" t="str">
        <x:f>IF(B40="","",IF(ISNUMBER(F40),"OK","Cần kiểm tra"))</x:f>
        <x:v>OK</x:v>
      </x:c>
    </x:row>
    <x:row r="41" ht="21" customHeight="1">
      <x:c r="A41" s="24" t="str">
        <x:v>FM-2026-0040</x:v>
      </x:c>
      <x:c r="B41" s="24" t="str">
        <x:v>HCM_LT</x:v>
      </x:c>
      <x:c r="C41" s="21" t="str">
        <x:v>Đặng Quân 040</x:v>
      </x:c>
      <x:c r="D41" s="21" t="str">
        <x:v>TP. Hồ Chí Minh liên tỉnh</x:v>
      </x:c>
      <x:c r="E41" s="25" t="n">
        <x:v>4.5</x:v>
      </x:c>
      <x:c r="F41" s="26" t="n">
        <x:f>IF(B41="","",IFERROR(VLOOKUP(TRIM(B41),'Giá cước'!$A$2:$D$7,4,FALSE),"Không tìm thấy mã cước"))</x:f>
        <x:v>19500</x:v>
      </x:c>
      <x:c r="G41" s="26" t="n">
        <x:f>IF(OR(B41="",E41=""),"",IFERROR(E41*F41,""))</x:f>
        <x:v>87750</x:v>
      </x:c>
      <x:c r="H41" s="24" t="str">
        <x:f>IF(B41="","",IF(ISNUMBER(F41),"OK","Cần kiểm tra"))</x:f>
        <x:v>OK</x:v>
      </x:c>
    </x:row>
    <x:row r="42" ht="21" customHeight="1">
      <x:c r="A42" s="24" t="str">
        <x:v>FM-2026-0041</x:v>
      </x:c>
      <x:c r="B42" s="24" t="str">
        <x:v>MIEN_TAY</x:v>
      </x:c>
      <x:c r="C42" s="21" t="str">
        <x:v>Nguyễn An 041</x:v>
      </x:c>
      <x:c r="D42" s="21" t="str">
        <x:v>Miền Tây</x:v>
      </x:c>
      <x:c r="E42" s="25" t="n">
        <x:v>5.2</x:v>
      </x:c>
      <x:c r="F42" s="26" t="n">
        <x:f>IF(B42="","",IFERROR(VLOOKUP(TRIM(B42),'Giá cước'!$A$2:$D$7,4,FALSE),"Không tìm thấy mã cước"))</x:f>
        <x:v>22000</x:v>
      </x:c>
      <x:c r="G42" s="26" t="n">
        <x:f>IF(OR(B42="",E42=""),"",IFERROR(E42*F42,""))</x:f>
        <x:v>114400</x:v>
      </x:c>
      <x:c r="H42" s="24" t="str">
        <x:f>IF(B42="","",IF(ISNUMBER(F42),"OK","Cần kiểm tra"))</x:f>
        <x:v>OK</x:v>
      </x:c>
    </x:row>
    <x:row r="43" ht="21" customHeight="1">
      <x:c r="A43" s="24" t="str">
        <x:v>FM-2026-0042</x:v>
      </x:c>
      <x:c r="B43" s="24" t="str">
        <x:v>MIEN_NUI</x:v>
      </x:c>
      <x:c r="C43" s="21" t="str">
        <x:v>Trần Bình 042</x:v>
      </x:c>
      <x:c r="D43" s="21" t="str">
        <x:v>Miền núi</x:v>
      </x:c>
      <x:c r="E43" s="25" t="n">
        <x:v>5.9</x:v>
      </x:c>
      <x:c r="F43" s="26" t="n">
        <x:f>IF(B43="","",IFERROR(VLOOKUP(TRIM(B43),'Giá cước'!$A$2:$D$7,4,FALSE),"Không tìm thấy mã cước"))</x:f>
        <x:v>27000</x:v>
      </x:c>
      <x:c r="G43" s="26" t="n">
        <x:f>IF(OR(B43="",E43=""),"",IFERROR(E43*F43,""))</x:f>
        <x:v>159300</x:v>
      </x:c>
      <x:c r="H43" s="24" t="str">
        <x:f>IF(B43="","",IF(ISNUMBER(F43),"OK","Cần kiểm tra"))</x:f>
        <x:v>OK</x:v>
      </x:c>
    </x:row>
    <x:row r="44" ht="21" customHeight="1">
      <x:c r="A44" s="24" t="str">
        <x:v>FM-2026-0043</x:v>
      </x:c>
      <x:c r="B44" s="24" t="str">
        <x:v>HN_NT</x:v>
      </x:c>
      <x:c r="C44" s="21" t="str">
        <x:v>Lê Chi 043</x:v>
      </x:c>
      <x:c r="D44" s="21" t="str">
        <x:v>Hà Nội nội thành</x:v>
      </x:c>
      <x:c r="E44" s="25" t="n">
        <x:v>6.6</x:v>
      </x:c>
      <x:c r="F44" s="26" t="n">
        <x:f>IF(B44="","",IFERROR(VLOOKUP(TRIM(B44),'Giá cước'!$A$2:$D$7,4,FALSE),"Không tìm thấy mã cước"))</x:f>
        <x:v>12000</x:v>
      </x:c>
      <x:c r="G44" s="26" t="n">
        <x:f>IF(OR(B44="",E44=""),"",IFERROR(E44*F44,""))</x:f>
        <x:v>79200</x:v>
      </x:c>
      <x:c r="H44" s="24" t="str">
        <x:f>IF(B44="","",IF(ISNUMBER(F44),"OK","Cần kiểm tra"))</x:f>
        <x:v>OK</x:v>
      </x:c>
    </x:row>
    <x:row r="45" ht="21" customHeight="1">
      <x:c r="A45" s="24" t="str">
        <x:v>FM-2026-0044</x:v>
      </x:c>
      <x:c r="B45" s="24" t="str">
        <x:v>HN_LT</x:v>
      </x:c>
      <x:c r="C45" s="21" t="str">
        <x:v>Phạm Duy 044</x:v>
      </x:c>
      <x:c r="D45" s="21" t="str">
        <x:v>Hà Nội liên tỉnh</x:v>
      </x:c>
      <x:c r="E45" s="25" t="n">
        <x:v>7.3</x:v>
      </x:c>
      <x:c r="F45" s="26" t="n">
        <x:f>IF(B45="","",IFERROR(VLOOKUP(TRIM(B45),'Giá cước'!$A$2:$D$7,4,FALSE),"Không tìm thấy mã cước"))</x:f>
        <x:v>18000</x:v>
      </x:c>
      <x:c r="G45" s="26" t="n">
        <x:f>IF(OR(B45="",E45=""),"",IFERROR(E45*F45,""))</x:f>
        <x:v>131400</x:v>
      </x:c>
      <x:c r="H45" s="24" t="str">
        <x:f>IF(B45="","",IF(ISNUMBER(F45),"OK","Cần kiểm tra"))</x:f>
        <x:v>OK</x:v>
      </x:c>
    </x:row>
    <x:row r="46" ht="21" customHeight="1">
      <x:c r="A46" s="24" t="str">
        <x:v>FM-2026-0045</x:v>
      </x:c>
      <x:c r="B46" s="24" t="str">
        <x:v>HCM_NT</x:v>
      </x:c>
      <x:c r="C46" s="21" t="str">
        <x:v>Võ Hà 045</x:v>
      </x:c>
      <x:c r="D46" s="21" t="str">
        <x:v>TP. Hồ Chí Minh nội thành</x:v>
      </x:c>
      <x:c r="E46" s="25" t="n">
        <x:v>8</x:v>
      </x:c>
      <x:c r="F46" s="26" t="n">
        <x:f>IF(B46="","",IFERROR(VLOOKUP(TRIM(B46),'Giá cước'!$A$2:$D$7,4,FALSE),"Không tìm thấy mã cước"))</x:f>
        <x:v>13000</x:v>
      </x:c>
      <x:c r="G46" s="26" t="n">
        <x:f>IF(OR(B46="",E46=""),"",IFERROR(E46*F46,""))</x:f>
        <x:v>104000</x:v>
      </x:c>
      <x:c r="H46" s="24" t="str">
        <x:f>IF(B46="","",IF(ISNUMBER(F46),"OK","Cần kiểm tra"))</x:f>
        <x:v>OK</x:v>
      </x:c>
    </x:row>
    <x:row r="47" ht="21" customHeight="1">
      <x:c r="A47" s="24" t="str">
        <x:v>FM-2026-0046</x:v>
      </x:c>
      <x:c r="B47" s="24" t="str">
        <x:v>HCM_LT</x:v>
      </x:c>
      <x:c r="C47" s="21" t="str">
        <x:v>Đỗ Khang 046</x:v>
      </x:c>
      <x:c r="D47" s="21" t="str">
        <x:v>TP. Hồ Chí Minh liên tỉnh</x:v>
      </x:c>
      <x:c r="E47" s="25" t="n">
        <x:v>8.7</x:v>
      </x:c>
      <x:c r="F47" s="26" t="n">
        <x:f>IF(B47="","",IFERROR(VLOOKUP(TRIM(B47),'Giá cước'!$A$2:$D$7,4,FALSE),"Không tìm thấy mã cước"))</x:f>
        <x:v>19500</x:v>
      </x:c>
      <x:c r="G47" s="26" t="n">
        <x:f>IF(OR(B47="",E47=""),"",IFERROR(E47*F47,""))</x:f>
        <x:v>169650</x:v>
      </x:c>
      <x:c r="H47" s="24" t="str">
        <x:f>IF(B47="","",IF(ISNUMBER(F47),"OK","Cần kiểm tra"))</x:f>
        <x:v>OK</x:v>
      </x:c>
    </x:row>
    <x:row r="48" ht="21" customHeight="1">
      <x:c r="A48" s="24" t="str">
        <x:v>FM-2026-0047</x:v>
      </x:c>
      <x:c r="B48" s="24" t="str">
        <x:v>MIEN_TAY</x:v>
      </x:c>
      <x:c r="C48" s="21" t="str">
        <x:v>Bùi Lan 047</x:v>
      </x:c>
      <x:c r="D48" s="21" t="str">
        <x:v>Miền Tây</x:v>
      </x:c>
      <x:c r="E48" s="25" t="n">
        <x:v>9.4</x:v>
      </x:c>
      <x:c r="F48" s="26" t="n">
        <x:f>IF(B48="","",IFERROR(VLOOKUP(TRIM(B48),'Giá cước'!$A$2:$D$7,4,FALSE),"Không tìm thấy mã cước"))</x:f>
        <x:v>22000</x:v>
      </x:c>
      <x:c r="G48" s="26" t="n">
        <x:f>IF(OR(B48="",E48=""),"",IFERROR(E48*F48,""))</x:f>
        <x:v>206800</x:v>
      </x:c>
      <x:c r="H48" s="24" t="str">
        <x:f>IF(B48="","",IF(ISNUMBER(F48),"OK","Cần kiểm tra"))</x:f>
        <x:v>OK</x:v>
      </x:c>
    </x:row>
    <x:row r="49" ht="21" customHeight="1">
      <x:c r="A49" s="24" t="str">
        <x:v>FM-2026-0048</x:v>
      </x:c>
      <x:c r="B49" s="24" t="str">
        <x:v>MIEN_NUI</x:v>
      </x:c>
      <x:c r="C49" s="21" t="str">
        <x:v>Hoàng Minh 048</x:v>
      </x:c>
      <x:c r="D49" s="21" t="str">
        <x:v>Miền núi</x:v>
      </x:c>
      <x:c r="E49" s="25" t="n">
        <x:v>10.1</x:v>
      </x:c>
      <x:c r="F49" s="26" t="n">
        <x:f>IF(B49="","",IFERROR(VLOOKUP(TRIM(B49),'Giá cước'!$A$2:$D$7,4,FALSE),"Không tìm thấy mã cước"))</x:f>
        <x:v>27000</x:v>
      </x:c>
      <x:c r="G49" s="26" t="n">
        <x:f>IF(OR(B49="",E49=""),"",IFERROR(E49*F49,""))</x:f>
        <x:v>272700</x:v>
      </x:c>
      <x:c r="H49" s="24" t="str">
        <x:f>IF(B49="","",IF(ISNUMBER(F49),"OK","Cần kiểm tra"))</x:f>
        <x:v>OK</x:v>
      </x:c>
    </x:row>
    <x:row r="50" ht="21" customHeight="1">
      <x:c r="A50" s="24" t="str">
        <x:v>FM-2026-0049</x:v>
      </x:c>
      <x:c r="B50" s="24" t="str">
        <x:v>HN_NT</x:v>
      </x:c>
      <x:c r="C50" s="21" t="str">
        <x:v>Phan Ngọc 049</x:v>
      </x:c>
      <x:c r="D50" s="21" t="str">
        <x:v>Hà Nội nội thành</x:v>
      </x:c>
      <x:c r="E50" s="25" t="n">
        <x:v>10.8</x:v>
      </x:c>
      <x:c r="F50" s="26" t="n">
        <x:f>IF(B50="","",IFERROR(VLOOKUP(TRIM(B50),'Giá cước'!$A$2:$D$7,4,FALSE),"Không tìm thấy mã cước"))</x:f>
        <x:v>12000</x:v>
      </x:c>
      <x:c r="G50" s="26" t="n">
        <x:f>IF(OR(B50="",E50=""),"",IFERROR(E50*F50,""))</x:f>
        <x:v>129600.00000000001</x:v>
      </x:c>
      <x:c r="H50" s="24" t="str">
        <x:f>IF(B50="","",IF(ISNUMBER(F50),"OK","Cần kiểm tra"))</x:f>
        <x:v>OK</x:v>
      </x:c>
    </x:row>
    <x:row r="51" ht="21" customHeight="1">
      <x:c r="A51" s="24" t="str">
        <x:v>FM-2026-0050</x:v>
      </x:c>
      <x:c r="B51" s="24" t="str">
        <x:v>HN_LT</x:v>
      </x:c>
      <x:c r="C51" s="21" t="str">
        <x:v>Đặng Quân 050</x:v>
      </x:c>
      <x:c r="D51" s="21" t="str">
        <x:v>Hà Nội liên tỉnh</x:v>
      </x:c>
      <x:c r="E51" s="25" t="n">
        <x:v>11.5</x:v>
      </x:c>
      <x:c r="F51" s="26" t="n">
        <x:f>IF(B51="","",IFERROR(VLOOKUP(TRIM(B51),'Giá cước'!$A$2:$D$7,4,FALSE),"Không tìm thấy mã cước"))</x:f>
        <x:v>18000</x:v>
      </x:c>
      <x:c r="G51" s="26" t="n">
        <x:f>IF(OR(B51="",E51=""),"",IFERROR(E51*F51,""))</x:f>
        <x:v>207000</x:v>
      </x:c>
      <x:c r="H51" s="24" t="str">
        <x:f>IF(B51="","",IF(ISNUMBER(F51),"OK","Cần kiểm tra"))</x:f>
        <x:v>OK</x:v>
      </x:c>
    </x:row>
    <x:row r="52" ht="21" customHeight="1">
      <x:c r="A52" s="24" t="str">
        <x:v>FM-2026-0051</x:v>
      </x:c>
      <x:c r="B52" s="24" t="str">
        <x:v>HCM_NT</x:v>
      </x:c>
      <x:c r="C52" s="21" t="str">
        <x:v>Nguyễn An 051</x:v>
      </x:c>
      <x:c r="D52" s="21" t="str">
        <x:v>TP. Hồ Chí Minh nội thành</x:v>
      </x:c>
      <x:c r="E52" s="25" t="n">
        <x:v>12.2</x:v>
      </x:c>
      <x:c r="F52" s="26" t="n">
        <x:f>IF(B52="","",IFERROR(VLOOKUP(TRIM(B52),'Giá cước'!$A$2:$D$7,4,FALSE),"Không tìm thấy mã cước"))</x:f>
        <x:v>13000</x:v>
      </x:c>
      <x:c r="G52" s="26" t="n">
        <x:f>IF(OR(B52="",E52=""),"",IFERROR(E52*F52,""))</x:f>
        <x:v>158600</x:v>
      </x:c>
      <x:c r="H52" s="24" t="str">
        <x:f>IF(B52="","",IF(ISNUMBER(F52),"OK","Cần kiểm tra"))</x:f>
        <x:v>OK</x:v>
      </x:c>
    </x:row>
    <x:row r="53" ht="21" customHeight="1">
      <x:c r="A53" s="24" t="str">
        <x:v>FM-2026-0052</x:v>
      </x:c>
      <x:c r="B53" s="24" t="str">
        <x:v>HCM_LT</x:v>
      </x:c>
      <x:c r="C53" s="21" t="str">
        <x:v>Trần Bình 052</x:v>
      </x:c>
      <x:c r="D53" s="21" t="str">
        <x:v>TP. Hồ Chí Minh liên tỉnh</x:v>
      </x:c>
      <x:c r="E53" s="25" t="n">
        <x:v>0.9</x:v>
      </x:c>
      <x:c r="F53" s="26" t="n">
        <x:f>IF(B53="","",IFERROR(VLOOKUP(TRIM(B53),'Giá cước'!$A$2:$D$7,4,FALSE),"Không tìm thấy mã cước"))</x:f>
        <x:v>19500</x:v>
      </x:c>
      <x:c r="G53" s="26" t="n">
        <x:f>IF(OR(B53="",E53=""),"",IFERROR(E53*F53,""))</x:f>
        <x:v>17550</x:v>
      </x:c>
      <x:c r="H53" s="24" t="str">
        <x:f>IF(B53="","",IF(ISNUMBER(F53),"OK","Cần kiểm tra"))</x:f>
        <x:v>OK</x:v>
      </x:c>
    </x:row>
    <x:row r="54" ht="21" customHeight="1">
      <x:c r="A54" s="24" t="str">
        <x:v>FM-2026-0053</x:v>
      </x:c>
      <x:c r="B54" s="24" t="str">
        <x:v>MIEN_TAY</x:v>
      </x:c>
      <x:c r="C54" s="21" t="str">
        <x:v>Lê Chi 053</x:v>
      </x:c>
      <x:c r="D54" s="21" t="str">
        <x:v>Miền Tây</x:v>
      </x:c>
      <x:c r="E54" s="25" t="n">
        <x:v>1.6</x:v>
      </x:c>
      <x:c r="F54" s="26" t="n">
        <x:f>IF(B54="","",IFERROR(VLOOKUP(TRIM(B54),'Giá cước'!$A$2:$D$7,4,FALSE),"Không tìm thấy mã cước"))</x:f>
        <x:v>22000</x:v>
      </x:c>
      <x:c r="G54" s="26" t="n">
        <x:f>IF(OR(B54="",E54=""),"",IFERROR(E54*F54,""))</x:f>
        <x:v>35200</x:v>
      </x:c>
      <x:c r="H54" s="24" t="str">
        <x:f>IF(B54="","",IF(ISNUMBER(F54),"OK","Cần kiểm tra"))</x:f>
        <x:v>OK</x:v>
      </x:c>
    </x:row>
    <x:row r="55" ht="21" customHeight="1">
      <x:c r="A55" s="24" t="str">
        <x:v>FM-2026-0054</x:v>
      </x:c>
      <x:c r="B55" s="24" t="str">
        <x:v>MIEN_NUI</x:v>
      </x:c>
      <x:c r="C55" s="21" t="str">
        <x:v>Phạm Duy 054</x:v>
      </x:c>
      <x:c r="D55" s="21" t="str">
        <x:v>Miền núi</x:v>
      </x:c>
      <x:c r="E55" s="25" t="n">
        <x:v>2.3</x:v>
      </x:c>
      <x:c r="F55" s="26" t="n">
        <x:f>IF(B55="","",IFERROR(VLOOKUP(TRIM(B55),'Giá cước'!$A$2:$D$7,4,FALSE),"Không tìm thấy mã cước"))</x:f>
        <x:v>27000</x:v>
      </x:c>
      <x:c r="G55" s="26" t="n">
        <x:f>IF(OR(B55="",E55=""),"",IFERROR(E55*F55,""))</x:f>
        <x:v>62099.99999999999</x:v>
      </x:c>
      <x:c r="H55" s="24" t="str">
        <x:f>IF(B55="","",IF(ISNUMBER(F55),"OK","Cần kiểm tra"))</x:f>
        <x:v>OK</x:v>
      </x:c>
    </x:row>
    <x:row r="56" ht="21" customHeight="1">
      <x:c r="A56" s="24" t="str">
        <x:v>FM-2026-0055</x:v>
      </x:c>
      <x:c r="B56" s="24" t="str">
        <x:v>HN_NT</x:v>
      </x:c>
      <x:c r="C56" s="21" t="str">
        <x:v>Võ Hà 055</x:v>
      </x:c>
      <x:c r="D56" s="21" t="str">
        <x:v>Hà Nội nội thành</x:v>
      </x:c>
      <x:c r="E56" s="25" t="n">
        <x:v>3</x:v>
      </x:c>
      <x:c r="F56" s="26" t="n">
        <x:f>IF(B56="","",IFERROR(VLOOKUP(TRIM(B56),'Giá cước'!$A$2:$D$7,4,FALSE),"Không tìm thấy mã cước"))</x:f>
        <x:v>12000</x:v>
      </x:c>
      <x:c r="G56" s="26" t="n">
        <x:f>IF(OR(B56="",E56=""),"",IFERROR(E56*F56,""))</x:f>
        <x:v>36000</x:v>
      </x:c>
      <x:c r="H56" s="24" t="str">
        <x:f>IF(B56="","",IF(ISNUMBER(F56),"OK","Cần kiểm tra"))</x:f>
        <x:v>OK</x:v>
      </x:c>
    </x:row>
    <x:row r="57" ht="21" customHeight="1">
      <x:c r="A57" s="24" t="str">
        <x:v>FM-2026-0056</x:v>
      </x:c>
      <x:c r="B57" s="24" t="str">
        <x:v>HN_LT</x:v>
      </x:c>
      <x:c r="C57" s="21" t="str">
        <x:v>Đỗ Khang 056</x:v>
      </x:c>
      <x:c r="D57" s="21" t="str">
        <x:v>Hà Nội liên tỉnh</x:v>
      </x:c>
      <x:c r="E57" s="25" t="n">
        <x:v>3.7</x:v>
      </x:c>
      <x:c r="F57" s="26" t="n">
        <x:f>IF(B57="","",IFERROR(VLOOKUP(TRIM(B57),'Giá cước'!$A$2:$D$7,4,FALSE),"Không tìm thấy mã cước"))</x:f>
        <x:v>18000</x:v>
      </x:c>
      <x:c r="G57" s="26" t="n">
        <x:f>IF(OR(B57="",E57=""),"",IFERROR(E57*F57,""))</x:f>
        <x:v>66600</x:v>
      </x:c>
      <x:c r="H57" s="24" t="str">
        <x:f>IF(B57="","",IF(ISNUMBER(F57),"OK","Cần kiểm tra"))</x:f>
        <x:v>OK</x:v>
      </x:c>
    </x:row>
    <x:row r="58" ht="21" customHeight="1">
      <x:c r="A58" s="24" t="str">
        <x:v>FM-2026-0057</x:v>
      </x:c>
      <x:c r="B58" s="24" t="str">
        <x:v>HCM_NT</x:v>
      </x:c>
      <x:c r="C58" s="21" t="str">
        <x:v>Bùi Lan 057</x:v>
      </x:c>
      <x:c r="D58" s="21" t="str">
        <x:v>TP. Hồ Chí Minh nội thành</x:v>
      </x:c>
      <x:c r="E58" s="25" t="n">
        <x:v>4.4</x:v>
      </x:c>
      <x:c r="F58" s="26" t="n">
        <x:f>IF(B58="","",IFERROR(VLOOKUP(TRIM(B58),'Giá cước'!$A$2:$D$7,4,FALSE),"Không tìm thấy mã cước"))</x:f>
        <x:v>13000</x:v>
      </x:c>
      <x:c r="G58" s="26" t="n">
        <x:f>IF(OR(B58="",E58=""),"",IFERROR(E58*F58,""))</x:f>
        <x:v>57200.00000000001</x:v>
      </x:c>
      <x:c r="H58" s="24" t="str">
        <x:f>IF(B58="","",IF(ISNUMBER(F58),"OK","Cần kiểm tra"))</x:f>
        <x:v>OK</x:v>
      </x:c>
    </x:row>
    <x:row r="59" ht="21" customHeight="1">
      <x:c r="A59" s="24" t="str">
        <x:v>FM-2026-0058</x:v>
      </x:c>
      <x:c r="B59" s="24" t="str">
        <x:v>HCM_LT</x:v>
      </x:c>
      <x:c r="C59" s="21" t="str">
        <x:v>Hoàng Minh 058</x:v>
      </x:c>
      <x:c r="D59" s="21" t="str">
        <x:v>TP. Hồ Chí Minh liên tỉnh</x:v>
      </x:c>
      <x:c r="E59" s="25" t="n">
        <x:v>5.1</x:v>
      </x:c>
      <x:c r="F59" s="26" t="n">
        <x:f>IF(B59="","",IFERROR(VLOOKUP(TRIM(B59),'Giá cước'!$A$2:$D$7,4,FALSE),"Không tìm thấy mã cước"))</x:f>
        <x:v>19500</x:v>
      </x:c>
      <x:c r="G59" s="26" t="n">
        <x:f>IF(OR(B59="",E59=""),"",IFERROR(E59*F59,""))</x:f>
        <x:v>99450</x:v>
      </x:c>
      <x:c r="H59" s="24" t="str">
        <x:f>IF(B59="","",IF(ISNUMBER(F59),"OK","Cần kiểm tra"))</x:f>
        <x:v>OK</x:v>
      </x:c>
    </x:row>
    <x:row r="60" ht="21" customHeight="1">
      <x:c r="A60" s="24" t="str">
        <x:v>FM-2026-0059</x:v>
      </x:c>
      <x:c r="B60" s="24" t="str">
        <x:v>MIEN_TAY</x:v>
      </x:c>
      <x:c r="C60" s="21" t="str">
        <x:v>Phan Ngọc 059</x:v>
      </x:c>
      <x:c r="D60" s="21" t="str">
        <x:v>Miền Tây</x:v>
      </x:c>
      <x:c r="E60" s="25" t="n">
        <x:v>5.8</x:v>
      </x:c>
      <x:c r="F60" s="26" t="n">
        <x:f>IF(B60="","",IFERROR(VLOOKUP(TRIM(B60),'Giá cước'!$A$2:$D$7,4,FALSE),"Không tìm thấy mã cước"))</x:f>
        <x:v>22000</x:v>
      </x:c>
      <x:c r="G60" s="26" t="n">
        <x:f>IF(OR(B60="",E60=""),"",IFERROR(E60*F60,""))</x:f>
        <x:v>127600</x:v>
      </x:c>
      <x:c r="H60" s="24" t="str">
        <x:f>IF(B60="","",IF(ISNUMBER(F60),"OK","Cần kiểm tra"))</x:f>
        <x:v>OK</x:v>
      </x:c>
    </x:row>
    <x:row r="61" ht="21" customHeight="1">
      <x:c r="A61" s="24" t="str">
        <x:v>FM-2026-0060</x:v>
      </x:c>
      <x:c r="B61" s="24" t="str">
        <x:v>MIEN_NUI</x:v>
      </x:c>
      <x:c r="C61" s="21" t="str">
        <x:v>Đặng Quân 060</x:v>
      </x:c>
      <x:c r="D61" s="21" t="str">
        <x:v>Miền núi</x:v>
      </x:c>
      <x:c r="E61" s="25" t="n">
        <x:v>6.5</x:v>
      </x:c>
      <x:c r="F61" s="26" t="n">
        <x:f>IF(B61="","",IFERROR(VLOOKUP(TRIM(B61),'Giá cước'!$A$2:$D$7,4,FALSE),"Không tìm thấy mã cước"))</x:f>
        <x:v>27000</x:v>
      </x:c>
      <x:c r="G61" s="26" t="n">
        <x:f>IF(OR(B61="",E61=""),"",IFERROR(E61*F61,""))</x:f>
        <x:v>175500</x:v>
      </x:c>
      <x:c r="H61" s="24" t="str">
        <x:f>IF(B61="","",IF(ISNUMBER(F61),"OK","Cần kiểm tra"))</x:f>
        <x:v>OK</x:v>
      </x:c>
    </x:row>
    <x:row r="62" ht="21" customHeight="1">
      <x:c r="A62" s="24" t="str">
        <x:v>FM-2026-0061</x:v>
      </x:c>
      <x:c r="B62" s="24" t="str">
        <x:v>HN_NT</x:v>
      </x:c>
      <x:c r="C62" s="21" t="str">
        <x:v>Nguyễn An 061</x:v>
      </x:c>
      <x:c r="D62" s="21" t="str">
        <x:v>Hà Nội nội thành</x:v>
      </x:c>
      <x:c r="E62" s="25" t="n">
        <x:v>7.2</x:v>
      </x:c>
      <x:c r="F62" s="26" t="n">
        <x:f>IF(B62="","",IFERROR(VLOOKUP(TRIM(B62),'Giá cước'!$A$2:$D$7,4,FALSE),"Không tìm thấy mã cước"))</x:f>
        <x:v>12000</x:v>
      </x:c>
      <x:c r="G62" s="26" t="n">
        <x:f>IF(OR(B62="",E62=""),"",IFERROR(E62*F62,""))</x:f>
        <x:v>86400</x:v>
      </x:c>
      <x:c r="H62" s="24" t="str">
        <x:f>IF(B62="","",IF(ISNUMBER(F62),"OK","Cần kiểm tra"))</x:f>
        <x:v>OK</x:v>
      </x:c>
    </x:row>
    <x:row r="63" ht="21" customHeight="1">
      <x:c r="A63" s="24" t="str">
        <x:v>FM-2026-0062</x:v>
      </x:c>
      <x:c r="B63" s="24" t="str">
        <x:v>HN_LT</x:v>
      </x:c>
      <x:c r="C63" s="21" t="str">
        <x:v>Trần Bình 062</x:v>
      </x:c>
      <x:c r="D63" s="21" t="str">
        <x:v>Hà Nội liên tỉnh</x:v>
      </x:c>
      <x:c r="E63" s="25" t="n">
        <x:v>7.9</x:v>
      </x:c>
      <x:c r="F63" s="26" t="n">
        <x:f>IF(B63="","",IFERROR(VLOOKUP(TRIM(B63),'Giá cước'!$A$2:$D$7,4,FALSE),"Không tìm thấy mã cước"))</x:f>
        <x:v>18000</x:v>
      </x:c>
      <x:c r="G63" s="26" t="n">
        <x:f>IF(OR(B63="",E63=""),"",IFERROR(E63*F63,""))</x:f>
        <x:v>142200</x:v>
      </x:c>
      <x:c r="H63" s="24" t="str">
        <x:f>IF(B63="","",IF(ISNUMBER(F63),"OK","Cần kiểm tra"))</x:f>
        <x:v>OK</x:v>
      </x:c>
    </x:row>
    <x:row r="64" ht="21" customHeight="1">
      <x:c r="A64" s="24" t="str">
        <x:v>FM-2026-0063</x:v>
      </x:c>
      <x:c r="B64" s="24" t="str">
        <x:v>HCM_NT</x:v>
      </x:c>
      <x:c r="C64" s="21" t="str">
        <x:v>Lê Chi 063</x:v>
      </x:c>
      <x:c r="D64" s="21" t="str">
        <x:v>TP. Hồ Chí Minh nội thành</x:v>
      </x:c>
      <x:c r="E64" s="25" t="n">
        <x:v>8.6</x:v>
      </x:c>
      <x:c r="F64" s="26" t="n">
        <x:f>IF(B64="","",IFERROR(VLOOKUP(TRIM(B64),'Giá cước'!$A$2:$D$7,4,FALSE),"Không tìm thấy mã cước"))</x:f>
        <x:v>13000</x:v>
      </x:c>
      <x:c r="G64" s="26" t="n">
        <x:f>IF(OR(B64="",E64=""),"",IFERROR(E64*F64,""))</x:f>
        <x:v>111800</x:v>
      </x:c>
      <x:c r="H64" s="24" t="str">
        <x:f>IF(B64="","",IF(ISNUMBER(F64),"OK","Cần kiểm tra"))</x:f>
        <x:v>OK</x:v>
      </x:c>
    </x:row>
    <x:row r="65" ht="21" customHeight="1">
      <x:c r="A65" s="24" t="str">
        <x:v>FM-2026-0064</x:v>
      </x:c>
      <x:c r="B65" s="24" t="str">
        <x:v>HCM_LT</x:v>
      </x:c>
      <x:c r="C65" s="21" t="str">
        <x:v>Phạm Duy 064</x:v>
      </x:c>
      <x:c r="D65" s="21" t="str">
        <x:v>TP. Hồ Chí Minh liên tỉnh</x:v>
      </x:c>
      <x:c r="E65" s="25" t="n">
        <x:v>9.3</x:v>
      </x:c>
      <x:c r="F65" s="26" t="n">
        <x:f>IF(B65="","",IFERROR(VLOOKUP(TRIM(B65),'Giá cước'!$A$2:$D$7,4,FALSE),"Không tìm thấy mã cước"))</x:f>
        <x:v>19500</x:v>
      </x:c>
      <x:c r="G65" s="26" t="n">
        <x:f>IF(OR(B65="",E65=""),"",IFERROR(E65*F65,""))</x:f>
        <x:v>181350</x:v>
      </x:c>
      <x:c r="H65" s="24" t="str">
        <x:f>IF(B65="","",IF(ISNUMBER(F65),"OK","Cần kiểm tra"))</x:f>
        <x:v>OK</x:v>
      </x:c>
    </x:row>
    <x:row r="66" ht="21" customHeight="1">
      <x:c r="A66" s="24" t="str">
        <x:v>FM-2026-0065</x:v>
      </x:c>
      <x:c r="B66" s="24" t="str">
        <x:v>MIEN_TAY</x:v>
      </x:c>
      <x:c r="C66" s="21" t="str">
        <x:v>Võ Hà 065</x:v>
      </x:c>
      <x:c r="D66" s="21" t="str">
        <x:v>Miền Tây</x:v>
      </x:c>
      <x:c r="E66" s="25" t="n">
        <x:v>10</x:v>
      </x:c>
      <x:c r="F66" s="26" t="n">
        <x:f>IF(B66="","",IFERROR(VLOOKUP(TRIM(B66),'Giá cước'!$A$2:$D$7,4,FALSE),"Không tìm thấy mã cước"))</x:f>
        <x:v>22000</x:v>
      </x:c>
      <x:c r="G66" s="26" t="n">
        <x:f>IF(OR(B66="",E66=""),"",IFERROR(E66*F66,""))</x:f>
        <x:v>220000</x:v>
      </x:c>
      <x:c r="H66" s="24" t="str">
        <x:f>IF(B66="","",IF(ISNUMBER(F66),"OK","Cần kiểm tra"))</x:f>
        <x:v>OK</x:v>
      </x:c>
    </x:row>
    <x:row r="67" ht="21" customHeight="1">
      <x:c r="A67" s="24" t="str">
        <x:v>FM-2026-0066</x:v>
      </x:c>
      <x:c r="B67" s="24" t="str">
        <x:v>MIEN_NUI</x:v>
      </x:c>
      <x:c r="C67" s="21" t="str">
        <x:v>Đỗ Khang 066</x:v>
      </x:c>
      <x:c r="D67" s="21" t="str">
        <x:v>Miền núi</x:v>
      </x:c>
      <x:c r="E67" s="25" t="n">
        <x:v>10.7</x:v>
      </x:c>
      <x:c r="F67" s="26" t="n">
        <x:f>IF(B67="","",IFERROR(VLOOKUP(TRIM(B67),'Giá cước'!$A$2:$D$7,4,FALSE),"Không tìm thấy mã cước"))</x:f>
        <x:v>27000</x:v>
      </x:c>
      <x:c r="G67" s="26" t="n">
        <x:f>IF(OR(B67="",E67=""),"",IFERROR(E67*F67,""))</x:f>
        <x:v>288900</x:v>
      </x:c>
      <x:c r="H67" s="24" t="str">
        <x:f>IF(B67="","",IF(ISNUMBER(F67),"OK","Cần kiểm tra"))</x:f>
        <x:v>OK</x:v>
      </x:c>
    </x:row>
    <x:row r="68" ht="21" customHeight="1">
      <x:c r="A68" s="24" t="str">
        <x:v>FM-2026-0067</x:v>
      </x:c>
      <x:c r="B68" s="24" t="str">
        <x:v>HN_NT</x:v>
      </x:c>
      <x:c r="C68" s="21" t="str">
        <x:v>Bùi Lan 067</x:v>
      </x:c>
      <x:c r="D68" s="21" t="str">
        <x:v>Hà Nội nội thành</x:v>
      </x:c>
      <x:c r="E68" s="25" t="n">
        <x:v>11.4</x:v>
      </x:c>
      <x:c r="F68" s="26" t="n">
        <x:f>IF(B68="","",IFERROR(VLOOKUP(TRIM(B68),'Giá cước'!$A$2:$D$7,4,FALSE),"Không tìm thấy mã cước"))</x:f>
        <x:v>12000</x:v>
      </x:c>
      <x:c r="G68" s="26" t="n">
        <x:f>IF(OR(B68="",E68=""),"",IFERROR(E68*F68,""))</x:f>
        <x:v>136800</x:v>
      </x:c>
      <x:c r="H68" s="24" t="str">
        <x:f>IF(B68="","",IF(ISNUMBER(F68),"OK","Cần kiểm tra"))</x:f>
        <x:v>OK</x:v>
      </x:c>
    </x:row>
    <x:row r="69" ht="21" customHeight="1">
      <x:c r="A69" s="24" t="str">
        <x:v>FM-2026-0068</x:v>
      </x:c>
      <x:c r="B69" s="24" t="str">
        <x:v>HN_LT</x:v>
      </x:c>
      <x:c r="C69" s="21" t="str">
        <x:v>Hoàng Minh 068</x:v>
      </x:c>
      <x:c r="D69" s="21" t="str">
        <x:v>Hà Nội liên tỉnh</x:v>
      </x:c>
      <x:c r="E69" s="25" t="n">
        <x:v>12.1</x:v>
      </x:c>
      <x:c r="F69" s="26" t="n">
        <x:f>IF(B69="","",IFERROR(VLOOKUP(TRIM(B69),'Giá cước'!$A$2:$D$7,4,FALSE),"Không tìm thấy mã cước"))</x:f>
        <x:v>18000</x:v>
      </x:c>
      <x:c r="G69" s="26" t="n">
        <x:f>IF(OR(B69="",E69=""),"",IFERROR(E69*F69,""))</x:f>
        <x:v>217800</x:v>
      </x:c>
      <x:c r="H69" s="24" t="str">
        <x:f>IF(B69="","",IF(ISNUMBER(F69),"OK","Cần kiểm tra"))</x:f>
        <x:v>OK</x:v>
      </x:c>
    </x:row>
    <x:row r="70" ht="21" customHeight="1">
      <x:c r="A70" s="24" t="str">
        <x:v>FM-2026-0069</x:v>
      </x:c>
      <x:c r="B70" s="24" t="str">
        <x:v>HCM_NT</x:v>
      </x:c>
      <x:c r="C70" s="21" t="str">
        <x:v>Phan Ngọc 069</x:v>
      </x:c>
      <x:c r="D70" s="21" t="str">
        <x:v>TP. Hồ Chí Minh nội thành</x:v>
      </x:c>
      <x:c r="E70" s="25" t="n">
        <x:v>0.8</x:v>
      </x:c>
      <x:c r="F70" s="26" t="n">
        <x:f>IF(B70="","",IFERROR(VLOOKUP(TRIM(B70),'Giá cước'!$A$2:$D$7,4,FALSE),"Không tìm thấy mã cước"))</x:f>
        <x:v>13000</x:v>
      </x:c>
      <x:c r="G70" s="26" t="n">
        <x:f>IF(OR(B70="",E70=""),"",IFERROR(E70*F70,""))</x:f>
        <x:v>10400</x:v>
      </x:c>
      <x:c r="H70" s="24" t="str">
        <x:f>IF(B70="","",IF(ISNUMBER(F70),"OK","Cần kiểm tra"))</x:f>
        <x:v>OK</x:v>
      </x:c>
    </x:row>
    <x:row r="71" ht="21" customHeight="1">
      <x:c r="A71" s="24" t="str">
        <x:v>FM-2026-0070</x:v>
      </x:c>
      <x:c r="B71" s="24" t="str">
        <x:v>HCM_LT</x:v>
      </x:c>
      <x:c r="C71" s="21" t="str">
        <x:v>Đặng Quân 070</x:v>
      </x:c>
      <x:c r="D71" s="21" t="str">
        <x:v>TP. Hồ Chí Minh liên tỉnh</x:v>
      </x:c>
      <x:c r="E71" s="25" t="n">
        <x:v>1.5</x:v>
      </x:c>
      <x:c r="F71" s="26" t="n">
        <x:f>IF(B71="","",IFERROR(VLOOKUP(TRIM(B71),'Giá cước'!$A$2:$D$7,4,FALSE),"Không tìm thấy mã cước"))</x:f>
        <x:v>19500</x:v>
      </x:c>
      <x:c r="G71" s="26" t="n">
        <x:f>IF(OR(B71="",E71=""),"",IFERROR(E71*F71,""))</x:f>
        <x:v>29250</x:v>
      </x:c>
      <x:c r="H71" s="24" t="str">
        <x:f>IF(B71="","",IF(ISNUMBER(F71),"OK","Cần kiểm tra"))</x:f>
        <x:v>OK</x:v>
      </x:c>
    </x:row>
    <x:row r="72" ht="21" customHeight="1">
      <x:c r="A72" s="24" t="str">
        <x:v>FM-2026-0071</x:v>
      </x:c>
      <x:c r="B72" s="24" t="str">
        <x:v>MIEN_TAY</x:v>
      </x:c>
      <x:c r="C72" s="21" t="str">
        <x:v>Nguyễn An 071</x:v>
      </x:c>
      <x:c r="D72" s="21" t="str">
        <x:v>Miền Tây</x:v>
      </x:c>
      <x:c r="E72" s="25" t="n">
        <x:v>2.2</x:v>
      </x:c>
      <x:c r="F72" s="26" t="n">
        <x:f>IF(B72="","",IFERROR(VLOOKUP(TRIM(B72),'Giá cước'!$A$2:$D$7,4,FALSE),"Không tìm thấy mã cước"))</x:f>
        <x:v>22000</x:v>
      </x:c>
      <x:c r="G72" s="26" t="n">
        <x:f>IF(OR(B72="",E72=""),"",IFERROR(E72*F72,""))</x:f>
        <x:v>48400.00000000001</x:v>
      </x:c>
      <x:c r="H72" s="24" t="str">
        <x:f>IF(B72="","",IF(ISNUMBER(F72),"OK","Cần kiểm tra"))</x:f>
        <x:v>OK</x:v>
      </x:c>
    </x:row>
    <x:row r="73" ht="21" customHeight="1">
      <x:c r="A73" s="24" t="str">
        <x:v>FM-2026-0072</x:v>
      </x:c>
      <x:c r="B73" s="24" t="str">
        <x:v>MIEN_NUI</x:v>
      </x:c>
      <x:c r="C73" s="21" t="str">
        <x:v>Trần Bình 072</x:v>
      </x:c>
      <x:c r="D73" s="21" t="str">
        <x:v>Miền núi</x:v>
      </x:c>
      <x:c r="E73" s="25" t="n">
        <x:v>2.9</x:v>
      </x:c>
      <x:c r="F73" s="26" t="n">
        <x:f>IF(B73="","",IFERROR(VLOOKUP(TRIM(B73),'Giá cước'!$A$2:$D$7,4,FALSE),"Không tìm thấy mã cước"))</x:f>
        <x:v>27000</x:v>
      </x:c>
      <x:c r="G73" s="26" t="n">
        <x:f>IF(OR(B73="",E73=""),"",IFERROR(E73*F73,""))</x:f>
        <x:v>78300</x:v>
      </x:c>
      <x:c r="H73" s="24" t="str">
        <x:f>IF(B73="","",IF(ISNUMBER(F73),"OK","Cần kiểm tra"))</x:f>
        <x:v>OK</x:v>
      </x:c>
    </x:row>
    <x:row r="74" ht="21" customHeight="1">
      <x:c r="A74" s="24" t="str">
        <x:v>FM-2026-0073</x:v>
      </x:c>
      <x:c r="B74" s="24" t="str">
        <x:v>HN_NT</x:v>
      </x:c>
      <x:c r="C74" s="21" t="str">
        <x:v>Lê Chi 073</x:v>
      </x:c>
      <x:c r="D74" s="21" t="str">
        <x:v>Hà Nội nội thành</x:v>
      </x:c>
      <x:c r="E74" s="25" t="n">
        <x:v>3.6</x:v>
      </x:c>
      <x:c r="F74" s="26" t="n">
        <x:f>IF(B74="","",IFERROR(VLOOKUP(TRIM(B74),'Giá cước'!$A$2:$D$7,4,FALSE),"Không tìm thấy mã cước"))</x:f>
        <x:v>12000</x:v>
      </x:c>
      <x:c r="G74" s="26" t="n">
        <x:f>IF(OR(B74="",E74=""),"",IFERROR(E74*F74,""))</x:f>
        <x:v>43200</x:v>
      </x:c>
      <x:c r="H74" s="24" t="str">
        <x:f>IF(B74="","",IF(ISNUMBER(F74),"OK","Cần kiểm tra"))</x:f>
        <x:v>OK</x:v>
      </x:c>
    </x:row>
    <x:row r="75" ht="21" customHeight="1">
      <x:c r="A75" s="24" t="str">
        <x:v>FM-2026-0074</x:v>
      </x:c>
      <x:c r="B75" s="24" t="str">
        <x:v>HN_LT</x:v>
      </x:c>
      <x:c r="C75" s="21" t="str">
        <x:v>Phạm Duy 074</x:v>
      </x:c>
      <x:c r="D75" s="21" t="str">
        <x:v>Hà Nội liên tỉnh</x:v>
      </x:c>
      <x:c r="E75" s="25" t="n">
        <x:v>4.3</x:v>
      </x:c>
      <x:c r="F75" s="26" t="n">
        <x:f>IF(B75="","",IFERROR(VLOOKUP(TRIM(B75),'Giá cước'!$A$2:$D$7,4,FALSE),"Không tìm thấy mã cước"))</x:f>
        <x:v>18000</x:v>
      </x:c>
      <x:c r="G75" s="26" t="n">
        <x:f>IF(OR(B75="",E75=""),"",IFERROR(E75*F75,""))</x:f>
        <x:v>77400</x:v>
      </x:c>
      <x:c r="H75" s="24" t="str">
        <x:f>IF(B75="","",IF(ISNUMBER(F75),"OK","Cần kiểm tra"))</x:f>
        <x:v>OK</x:v>
      </x:c>
    </x:row>
    <x:row r="76" ht="21" customHeight="1">
      <x:c r="A76" s="24" t="str">
        <x:v>FM-2026-0075</x:v>
      </x:c>
      <x:c r="B76" s="24" t="str">
        <x:v>HCM_NT</x:v>
      </x:c>
      <x:c r="C76" s="21" t="str">
        <x:v>Võ Hà 075</x:v>
      </x:c>
      <x:c r="D76" s="21" t="str">
        <x:v>TP. Hồ Chí Minh nội thành</x:v>
      </x:c>
      <x:c r="E76" s="25" t="n">
        <x:v>5</x:v>
      </x:c>
      <x:c r="F76" s="26" t="n">
        <x:f>IF(B76="","",IFERROR(VLOOKUP(TRIM(B76),'Giá cước'!$A$2:$D$7,4,FALSE),"Không tìm thấy mã cước"))</x:f>
        <x:v>13000</x:v>
      </x:c>
      <x:c r="G76" s="26" t="n">
        <x:f>IF(OR(B76="",E76=""),"",IFERROR(E76*F76,""))</x:f>
        <x:v>65000</x:v>
      </x:c>
      <x:c r="H76" s="24" t="str">
        <x:f>IF(B76="","",IF(ISNUMBER(F76),"OK","Cần kiểm tra"))</x:f>
        <x:v>OK</x:v>
      </x:c>
    </x:row>
    <x:row r="77" ht="21" customHeight="1">
      <x:c r="A77" s="24" t="str">
        <x:v>FM-2026-0076</x:v>
      </x:c>
      <x:c r="B77" s="24" t="str">
        <x:v>HCM_LT</x:v>
      </x:c>
      <x:c r="C77" s="21" t="str">
        <x:v>Đỗ Khang 076</x:v>
      </x:c>
      <x:c r="D77" s="21" t="str">
        <x:v>TP. Hồ Chí Minh liên tỉnh</x:v>
      </x:c>
      <x:c r="E77" s="25" t="n">
        <x:v>5.7</x:v>
      </x:c>
      <x:c r="F77" s="26" t="n">
        <x:f>IF(B77="","",IFERROR(VLOOKUP(TRIM(B77),'Giá cước'!$A$2:$D$7,4,FALSE),"Không tìm thấy mã cước"))</x:f>
        <x:v>19500</x:v>
      </x:c>
      <x:c r="G77" s="26" t="n">
        <x:f>IF(OR(B77="",E77=""),"",IFERROR(E77*F77,""))</x:f>
        <x:v>111150</x:v>
      </x:c>
      <x:c r="H77" s="24" t="str">
        <x:f>IF(B77="","",IF(ISNUMBER(F77),"OK","Cần kiểm tra"))</x:f>
        <x:v>OK</x:v>
      </x:c>
    </x:row>
    <x:row r="78" ht="21" customHeight="1">
      <x:c r="A78" s="24" t="str">
        <x:v>FM-2026-0077</x:v>
      </x:c>
      <x:c r="B78" s="24" t="str">
        <x:v>MIEN_TAY</x:v>
      </x:c>
      <x:c r="C78" s="21" t="str">
        <x:v>Bùi Lan 077</x:v>
      </x:c>
      <x:c r="D78" s="21" t="str">
        <x:v>Miền Tây</x:v>
      </x:c>
      <x:c r="E78" s="25" t="n">
        <x:v>6.4</x:v>
      </x:c>
      <x:c r="F78" s="26" t="n">
        <x:f>IF(B78="","",IFERROR(VLOOKUP(TRIM(B78),'Giá cước'!$A$2:$D$7,4,FALSE),"Không tìm thấy mã cước"))</x:f>
        <x:v>22000</x:v>
      </x:c>
      <x:c r="G78" s="26" t="n">
        <x:f>IF(OR(B78="",E78=""),"",IFERROR(E78*F78,""))</x:f>
        <x:v>140800</x:v>
      </x:c>
      <x:c r="H78" s="24" t="str">
        <x:f>IF(B78="","",IF(ISNUMBER(F78),"OK","Cần kiểm tra"))</x:f>
        <x:v>OK</x:v>
      </x:c>
    </x:row>
    <x:row r="79" ht="21" customHeight="1">
      <x:c r="A79" s="24" t="str">
        <x:v>FM-2026-0078</x:v>
      </x:c>
      <x:c r="B79" s="24" t="str">
        <x:v>MIEN_NUI</x:v>
      </x:c>
      <x:c r="C79" s="21" t="str">
        <x:v>Hoàng Minh 078</x:v>
      </x:c>
      <x:c r="D79" s="21" t="str">
        <x:v>Miền núi</x:v>
      </x:c>
      <x:c r="E79" s="25" t="n">
        <x:v>7.1</x:v>
      </x:c>
      <x:c r="F79" s="26" t="n">
        <x:f>IF(B79="","",IFERROR(VLOOKUP(TRIM(B79),'Giá cước'!$A$2:$D$7,4,FALSE),"Không tìm thấy mã cước"))</x:f>
        <x:v>27000</x:v>
      </x:c>
      <x:c r="G79" s="26" t="n">
        <x:f>IF(OR(B79="",E79=""),"",IFERROR(E79*F79,""))</x:f>
        <x:v>191700</x:v>
      </x:c>
      <x:c r="H79" s="24" t="str">
        <x:f>IF(B79="","",IF(ISNUMBER(F79),"OK","Cần kiểm tra"))</x:f>
        <x:v>OK</x:v>
      </x:c>
    </x:row>
    <x:row r="80" ht="21" customHeight="1">
      <x:c r="A80" s="24" t="str">
        <x:v>FM-2026-0079</x:v>
      </x:c>
      <x:c r="B80" s="24" t="str">
        <x:v>HN_NT</x:v>
      </x:c>
      <x:c r="C80" s="21" t="str">
        <x:v>Phan Ngọc 079</x:v>
      </x:c>
      <x:c r="D80" s="21" t="str">
        <x:v>Hà Nội nội thành</x:v>
      </x:c>
      <x:c r="E80" s="25" t="n">
        <x:v>7.8</x:v>
      </x:c>
      <x:c r="F80" s="26" t="n">
        <x:f>IF(B80="","",IFERROR(VLOOKUP(TRIM(B80),'Giá cước'!$A$2:$D$7,4,FALSE),"Không tìm thấy mã cước"))</x:f>
        <x:v>12000</x:v>
      </x:c>
      <x:c r="G80" s="26" t="n">
        <x:f>IF(OR(B80="",E80=""),"",IFERROR(E80*F80,""))</x:f>
        <x:v>93600</x:v>
      </x:c>
      <x:c r="H80" s="24" t="str">
        <x:f>IF(B80="","",IF(ISNUMBER(F80),"OK","Cần kiểm tra"))</x:f>
        <x:v>OK</x:v>
      </x:c>
    </x:row>
    <x:row r="81" ht="21" customHeight="1">
      <x:c r="A81" s="24" t="str">
        <x:v>FM-2026-0080</x:v>
      </x:c>
      <x:c r="B81" s="24" t="str">
        <x:v>HN_LT</x:v>
      </x:c>
      <x:c r="C81" s="21" t="str">
        <x:v>Đặng Quân 080</x:v>
      </x:c>
      <x:c r="D81" s="21" t="str">
        <x:v>Hà Nội liên tỉnh</x:v>
      </x:c>
      <x:c r="E81" s="25" t="n">
        <x:v>8.5</x:v>
      </x:c>
      <x:c r="F81" s="26" t="n">
        <x:f>IF(B81="","",IFERROR(VLOOKUP(TRIM(B81),'Giá cước'!$A$2:$D$7,4,FALSE),"Không tìm thấy mã cước"))</x:f>
        <x:v>18000</x:v>
      </x:c>
      <x:c r="G81" s="26" t="n">
        <x:f>IF(OR(B81="",E81=""),"",IFERROR(E81*F81,""))</x:f>
        <x:v>153000</x:v>
      </x:c>
      <x:c r="H81" s="24" t="str">
        <x:f>IF(B81="","",IF(ISNUMBER(F81),"OK","Cần kiểm tra"))</x:f>
        <x:v>OK</x:v>
      </x:c>
    </x:row>
    <x:row r="82" ht="21" customHeight="1">
      <x:c r="A82" s="24" t="str">
        <x:v>FM-2026-0081</x:v>
      </x:c>
      <x:c r="B82" s="24" t="str">
        <x:v>HCM_NT</x:v>
      </x:c>
      <x:c r="C82" s="21" t="str">
        <x:v>Nguyễn An 081</x:v>
      </x:c>
      <x:c r="D82" s="21" t="str">
        <x:v>TP. Hồ Chí Minh nội thành</x:v>
      </x:c>
      <x:c r="E82" s="25" t="n">
        <x:v>9.2</x:v>
      </x:c>
      <x:c r="F82" s="26" t="n">
        <x:f>IF(B82="","",IFERROR(VLOOKUP(TRIM(B82),'Giá cước'!$A$2:$D$7,4,FALSE),"Không tìm thấy mã cước"))</x:f>
        <x:v>13000</x:v>
      </x:c>
      <x:c r="G82" s="26" t="n">
        <x:f>IF(OR(B82="",E82=""),"",IFERROR(E82*F82,""))</x:f>
        <x:v>119599.99999999999</x:v>
      </x:c>
      <x:c r="H82" s="24" t="str">
        <x:f>IF(B82="","",IF(ISNUMBER(F82),"OK","Cần kiểm tra"))</x:f>
        <x:v>OK</x:v>
      </x:c>
    </x:row>
    <x:row r="83" ht="21" customHeight="1">
      <x:c r="A83" s="24" t="str">
        <x:v>FM-2026-0082</x:v>
      </x:c>
      <x:c r="B83" s="24" t="str">
        <x:v>HCM_LT</x:v>
      </x:c>
      <x:c r="C83" s="21" t="str">
        <x:v>Trần Bình 082</x:v>
      </x:c>
      <x:c r="D83" s="21" t="str">
        <x:v>TP. Hồ Chí Minh liên tỉnh</x:v>
      </x:c>
      <x:c r="E83" s="25" t="n">
        <x:v>9.9</x:v>
      </x:c>
      <x:c r="F83" s="26" t="n">
        <x:f>IF(B83="","",IFERROR(VLOOKUP(TRIM(B83),'Giá cước'!$A$2:$D$7,4,FALSE),"Không tìm thấy mã cước"))</x:f>
        <x:v>19500</x:v>
      </x:c>
      <x:c r="G83" s="26" t="n">
        <x:f>IF(OR(B83="",E83=""),"",IFERROR(E83*F83,""))</x:f>
        <x:v>193050</x:v>
      </x:c>
      <x:c r="H83" s="24" t="str">
        <x:f>IF(B83="","",IF(ISNUMBER(F83),"OK","Cần kiểm tra"))</x:f>
        <x:v>OK</x:v>
      </x:c>
    </x:row>
    <x:row r="84" ht="21" customHeight="1">
      <x:c r="A84" s="24" t="str">
        <x:v>FM-2026-0083</x:v>
      </x:c>
      <x:c r="B84" s="24" t="str">
        <x:v>MIEN_TAY</x:v>
      </x:c>
      <x:c r="C84" s="21" t="str">
        <x:v>Lê Chi 083</x:v>
      </x:c>
      <x:c r="D84" s="21" t="str">
        <x:v>Miền Tây</x:v>
      </x:c>
      <x:c r="E84" s="25" t="n">
        <x:v>10.6</x:v>
      </x:c>
      <x:c r="F84" s="26" t="n">
        <x:f>IF(B84="","",IFERROR(VLOOKUP(TRIM(B84),'Giá cước'!$A$2:$D$7,4,FALSE),"Không tìm thấy mã cước"))</x:f>
        <x:v>22000</x:v>
      </x:c>
      <x:c r="G84" s="26" t="n">
        <x:f>IF(OR(B84="",E84=""),"",IFERROR(E84*F84,""))</x:f>
        <x:v>233200</x:v>
      </x:c>
      <x:c r="H84" s="24" t="str">
        <x:f>IF(B84="","",IF(ISNUMBER(F84),"OK","Cần kiểm tra"))</x:f>
        <x:v>OK</x:v>
      </x:c>
    </x:row>
    <x:row r="85" ht="21" customHeight="1">
      <x:c r="A85" s="24" t="str">
        <x:v>FM-2026-0084</x:v>
      </x:c>
      <x:c r="B85" s="24" t="str">
        <x:v>MIEN_NUI</x:v>
      </x:c>
      <x:c r="C85" s="21" t="str">
        <x:v>Phạm Duy 084</x:v>
      </x:c>
      <x:c r="D85" s="21" t="str">
        <x:v>Miền núi</x:v>
      </x:c>
      <x:c r="E85" s="25" t="n">
        <x:v>11.3</x:v>
      </x:c>
      <x:c r="F85" s="26" t="n">
        <x:f>IF(B85="","",IFERROR(VLOOKUP(TRIM(B85),'Giá cước'!$A$2:$D$7,4,FALSE),"Không tìm thấy mã cước"))</x:f>
        <x:v>27000</x:v>
      </x:c>
      <x:c r="G85" s="26" t="n">
        <x:f>IF(OR(B85="",E85=""),"",IFERROR(E85*F85,""))</x:f>
        <x:v>305100</x:v>
      </x:c>
      <x:c r="H85" s="24" t="str">
        <x:f>IF(B85="","",IF(ISNUMBER(F85),"OK","Cần kiểm tra"))</x:f>
        <x:v>OK</x:v>
      </x:c>
    </x:row>
    <x:row r="86" ht="21" customHeight="1">
      <x:c r="A86" s="24" t="str">
        <x:v>FM-2026-0085</x:v>
      </x:c>
      <x:c r="B86" s="24" t="str">
        <x:v>HN_NT</x:v>
      </x:c>
      <x:c r="C86" s="21" t="str">
        <x:v>Võ Hà 085</x:v>
      </x:c>
      <x:c r="D86" s="21" t="str">
        <x:v>Hà Nội nội thành</x:v>
      </x:c>
      <x:c r="E86" s="25" t="n">
        <x:v>12</x:v>
      </x:c>
      <x:c r="F86" s="26" t="n">
        <x:f>IF(B86="","",IFERROR(VLOOKUP(TRIM(B86),'Giá cước'!$A$2:$D$7,4,FALSE),"Không tìm thấy mã cước"))</x:f>
        <x:v>12000</x:v>
      </x:c>
      <x:c r="G86" s="26" t="n">
        <x:f>IF(OR(B86="",E86=""),"",IFERROR(E86*F86,""))</x:f>
        <x:v>144000</x:v>
      </x:c>
      <x:c r="H86" s="24" t="str">
        <x:f>IF(B86="","",IF(ISNUMBER(F86),"OK","Cần kiểm tra"))</x:f>
        <x:v>OK</x:v>
      </x:c>
    </x:row>
    <x:row r="87" ht="21" customHeight="1">
      <x:c r="A87" s="24" t="str">
        <x:v>FM-2026-0086</x:v>
      </x:c>
      <x:c r="B87" s="24" t="str">
        <x:v>HN_LT</x:v>
      </x:c>
      <x:c r="C87" s="21" t="str">
        <x:v>Đỗ Khang 086</x:v>
      </x:c>
      <x:c r="D87" s="21" t="str">
        <x:v>Hà Nội liên tỉnh</x:v>
      </x:c>
      <x:c r="E87" s="25" t="n">
        <x:v>0.7</x:v>
      </x:c>
      <x:c r="F87" s="26" t="n">
        <x:f>IF(B87="","",IFERROR(VLOOKUP(TRIM(B87),'Giá cước'!$A$2:$D$7,4,FALSE),"Không tìm thấy mã cước"))</x:f>
        <x:v>18000</x:v>
      </x:c>
      <x:c r="G87" s="26" t="n">
        <x:f>IF(OR(B87="",E87=""),"",IFERROR(E87*F87,""))</x:f>
        <x:v>12600</x:v>
      </x:c>
      <x:c r="H87" s="24" t="str">
        <x:f>IF(B87="","",IF(ISNUMBER(F87),"OK","Cần kiểm tra"))</x:f>
        <x:v>OK</x:v>
      </x:c>
    </x:row>
    <x:row r="88" ht="21" customHeight="1">
      <x:c r="A88" s="24" t="str">
        <x:v>FM-2026-0087</x:v>
      </x:c>
      <x:c r="B88" s="24" t="str">
        <x:v>HCM_NT</x:v>
      </x:c>
      <x:c r="C88" s="21" t="str">
        <x:v>Bùi Lan 087</x:v>
      </x:c>
      <x:c r="D88" s="21" t="str">
        <x:v>TP. Hồ Chí Minh nội thành</x:v>
      </x:c>
      <x:c r="E88" s="25" t="n">
        <x:v>1.4</x:v>
      </x:c>
      <x:c r="F88" s="26" t="n">
        <x:f>IF(B88="","",IFERROR(VLOOKUP(TRIM(B88),'Giá cước'!$A$2:$D$7,4,FALSE),"Không tìm thấy mã cước"))</x:f>
        <x:v>13000</x:v>
      </x:c>
      <x:c r="G88" s="26" t="n">
        <x:f>IF(OR(B88="",E88=""),"",IFERROR(E88*F88,""))</x:f>
        <x:v>18200</x:v>
      </x:c>
      <x:c r="H88" s="24" t="str">
        <x:f>IF(B88="","",IF(ISNUMBER(F88),"OK","Cần kiểm tra"))</x:f>
        <x:v>OK</x:v>
      </x:c>
    </x:row>
    <x:row r="89" ht="21" customHeight="1">
      <x:c r="A89" s="24" t="str">
        <x:v>FM-2026-0088</x:v>
      </x:c>
      <x:c r="B89" s="24" t="str">
        <x:v>HCM_LT</x:v>
      </x:c>
      <x:c r="C89" s="21" t="str">
        <x:v>Hoàng Minh 088</x:v>
      </x:c>
      <x:c r="D89" s="21" t="str">
        <x:v>TP. Hồ Chí Minh liên tỉnh</x:v>
      </x:c>
      <x:c r="E89" s="25" t="n">
        <x:v>2.1</x:v>
      </x:c>
      <x:c r="F89" s="26" t="n">
        <x:f>IF(B89="","",IFERROR(VLOOKUP(TRIM(B89),'Giá cước'!$A$2:$D$7,4,FALSE),"Không tìm thấy mã cước"))</x:f>
        <x:v>19500</x:v>
      </x:c>
      <x:c r="G89" s="26" t="n">
        <x:f>IF(OR(B89="",E89=""),"",IFERROR(E89*F89,""))</x:f>
        <x:v>40950</x:v>
      </x:c>
      <x:c r="H89" s="24" t="str">
        <x:f>IF(B89="","",IF(ISNUMBER(F89),"OK","Cần kiểm tra"))</x:f>
        <x:v>OK</x:v>
      </x:c>
    </x:row>
    <x:row r="90" ht="21" customHeight="1">
      <x:c r="A90" s="24" t="str">
        <x:v>FM-2026-0089</x:v>
      </x:c>
      <x:c r="B90" s="24" t="str">
        <x:v>MIEN_TAY</x:v>
      </x:c>
      <x:c r="C90" s="21" t="str">
        <x:v>Phan Ngọc 089</x:v>
      </x:c>
      <x:c r="D90" s="21" t="str">
        <x:v>Miền Tây</x:v>
      </x:c>
      <x:c r="E90" s="25" t="n">
        <x:v>2.8</x:v>
      </x:c>
      <x:c r="F90" s="26" t="n">
        <x:f>IF(B90="","",IFERROR(VLOOKUP(TRIM(B90),'Giá cước'!$A$2:$D$7,4,FALSE),"Không tìm thấy mã cước"))</x:f>
        <x:v>22000</x:v>
      </x:c>
      <x:c r="G90" s="26" t="n">
        <x:f>IF(OR(B90="",E90=""),"",IFERROR(E90*F90,""))</x:f>
        <x:v>61599.99999999999</x:v>
      </x:c>
      <x:c r="H90" s="24" t="str">
        <x:f>IF(B90="","",IF(ISNUMBER(F90),"OK","Cần kiểm tra"))</x:f>
        <x:v>OK</x:v>
      </x:c>
    </x:row>
    <x:row r="91" ht="21" customHeight="1">
      <x:c r="A91" s="24" t="str">
        <x:v>FM-2026-0090</x:v>
      </x:c>
      <x:c r="B91" s="24" t="str">
        <x:v>MIEN_NUI</x:v>
      </x:c>
      <x:c r="C91" s="21" t="str">
        <x:v>Đặng Quân 090</x:v>
      </x:c>
      <x:c r="D91" s="21" t="str">
        <x:v>Miền núi</x:v>
      </x:c>
      <x:c r="E91" s="25" t="n">
        <x:v>3.5</x:v>
      </x:c>
      <x:c r="F91" s="26" t="n">
        <x:f>IF(B91="","",IFERROR(VLOOKUP(TRIM(B91),'Giá cước'!$A$2:$D$7,4,FALSE),"Không tìm thấy mã cước"))</x:f>
        <x:v>27000</x:v>
      </x:c>
      <x:c r="G91" s="26" t="n">
        <x:f>IF(OR(B91="",E91=""),"",IFERROR(E91*F91,""))</x:f>
        <x:v>94500</x:v>
      </x:c>
      <x:c r="H91" s="24" t="str">
        <x:f>IF(B91="","",IF(ISNUMBER(F91),"OK","Cần kiểm tra"))</x:f>
        <x:v>OK</x:v>
      </x:c>
    </x:row>
    <x:row r="92" ht="21" customHeight="1">
      <x:c r="A92" s="24" t="str">
        <x:v>FM-2026-0091</x:v>
      </x:c>
      <x:c r="B92" s="24" t="str">
        <x:v>HN_NT</x:v>
      </x:c>
      <x:c r="C92" s="21" t="str">
        <x:v>Nguyễn An 091</x:v>
      </x:c>
      <x:c r="D92" s="21" t="str">
        <x:v>Hà Nội nội thành</x:v>
      </x:c>
      <x:c r="E92" s="25" t="n">
        <x:v>4.2</x:v>
      </x:c>
      <x:c r="F92" s="26" t="n">
        <x:f>IF(B92="","",IFERROR(VLOOKUP(TRIM(B92),'Giá cước'!$A$2:$D$7,4,FALSE),"Không tìm thấy mã cước"))</x:f>
        <x:v>12000</x:v>
      </x:c>
      <x:c r="G92" s="26" t="n">
        <x:f>IF(OR(B92="",E92=""),"",IFERROR(E92*F92,""))</x:f>
        <x:v>50400</x:v>
      </x:c>
      <x:c r="H92" s="24" t="str">
        <x:f>IF(B92="","",IF(ISNUMBER(F92),"OK","Cần kiểm tra"))</x:f>
        <x:v>OK</x:v>
      </x:c>
    </x:row>
    <x:row r="93" ht="21" customHeight="1">
      <x:c r="A93" s="24" t="str">
        <x:v>FM-2026-0092</x:v>
      </x:c>
      <x:c r="B93" s="24" t="str">
        <x:v>HN_LT</x:v>
      </x:c>
      <x:c r="C93" s="21" t="str">
        <x:v>Trần Bình 092</x:v>
      </x:c>
      <x:c r="D93" s="21" t="str">
        <x:v>Hà Nội liên tỉnh</x:v>
      </x:c>
      <x:c r="E93" s="25" t="n">
        <x:v>4.9</x:v>
      </x:c>
      <x:c r="F93" s="26" t="n">
        <x:f>IF(B93="","",IFERROR(VLOOKUP(TRIM(B93),'Giá cước'!$A$2:$D$7,4,FALSE),"Không tìm thấy mã cước"))</x:f>
        <x:v>18000</x:v>
      </x:c>
      <x:c r="G93" s="26" t="n">
        <x:f>IF(OR(B93="",E93=""),"",IFERROR(E93*F93,""))</x:f>
        <x:v>88200</x:v>
      </x:c>
      <x:c r="H93" s="24" t="str">
        <x:f>IF(B93="","",IF(ISNUMBER(F93),"OK","Cần kiểm tra"))</x:f>
        <x:v>OK</x:v>
      </x:c>
    </x:row>
    <x:row r="94" ht="21" customHeight="1">
      <x:c r="A94" s="24" t="str">
        <x:v>FM-2026-0093</x:v>
      </x:c>
      <x:c r="B94" s="24" t="str">
        <x:v>HCM_NT</x:v>
      </x:c>
      <x:c r="C94" s="21" t="str">
        <x:v>Lê Chi 093</x:v>
      </x:c>
      <x:c r="D94" s="21" t="str">
        <x:v>TP. Hồ Chí Minh nội thành</x:v>
      </x:c>
      <x:c r="E94" s="25" t="n">
        <x:v>5.6</x:v>
      </x:c>
      <x:c r="F94" s="26" t="n">
        <x:f>IF(B94="","",IFERROR(VLOOKUP(TRIM(B94),'Giá cước'!$A$2:$D$7,4,FALSE),"Không tìm thấy mã cước"))</x:f>
        <x:v>13000</x:v>
      </x:c>
      <x:c r="G94" s="26" t="n">
        <x:f>IF(OR(B94="",E94=""),"",IFERROR(E94*F94,""))</x:f>
        <x:v>72800</x:v>
      </x:c>
      <x:c r="H94" s="24" t="str">
        <x:f>IF(B94="","",IF(ISNUMBER(F94),"OK","Cần kiểm tra"))</x:f>
        <x:v>OK</x:v>
      </x:c>
    </x:row>
    <x:row r="95" ht="21" customHeight="1">
      <x:c r="A95" s="24" t="str">
        <x:v>FM-2026-0094</x:v>
      </x:c>
      <x:c r="B95" s="24" t="str">
        <x:v>HCM_LT</x:v>
      </x:c>
      <x:c r="C95" s="21" t="str">
        <x:v>Phạm Duy 094</x:v>
      </x:c>
      <x:c r="D95" s="21" t="str">
        <x:v>TP. Hồ Chí Minh liên tỉnh</x:v>
      </x:c>
      <x:c r="E95" s="25" t="n">
        <x:v>6.3</x:v>
      </x:c>
      <x:c r="F95" s="26" t="n">
        <x:f>IF(B95="","",IFERROR(VLOOKUP(TRIM(B95),'Giá cước'!$A$2:$D$7,4,FALSE),"Không tìm thấy mã cước"))</x:f>
        <x:v>19500</x:v>
      </x:c>
      <x:c r="G95" s="26" t="n">
        <x:f>IF(OR(B95="",E95=""),"",IFERROR(E95*F95,""))</x:f>
        <x:v>122850</x:v>
      </x:c>
      <x:c r="H95" s="24" t="str">
        <x:f>IF(B95="","",IF(ISNUMBER(F95),"OK","Cần kiểm tra"))</x:f>
        <x:v>OK</x:v>
      </x:c>
    </x:row>
    <x:row r="96" ht="21" customHeight="1">
      <x:c r="A96" s="24" t="str">
        <x:v>FM-2026-0095</x:v>
      </x:c>
      <x:c r="B96" s="24" t="str">
        <x:v>MIEN_TAY</x:v>
      </x:c>
      <x:c r="C96" s="21" t="str">
        <x:v>Võ Hà 095</x:v>
      </x:c>
      <x:c r="D96" s="21" t="str">
        <x:v>Miền Tây</x:v>
      </x:c>
      <x:c r="E96" s="25" t="n">
        <x:v>7</x:v>
      </x:c>
      <x:c r="F96" s="26" t="n">
        <x:f>IF(B96="","",IFERROR(VLOOKUP(TRIM(B96),'Giá cước'!$A$2:$D$7,4,FALSE),"Không tìm thấy mã cước"))</x:f>
        <x:v>22000</x:v>
      </x:c>
      <x:c r="G96" s="26" t="n">
        <x:f>IF(OR(B96="",E96=""),"",IFERROR(E96*F96,""))</x:f>
        <x:v>154000</x:v>
      </x:c>
      <x:c r="H96" s="24" t="str">
        <x:f>IF(B96="","",IF(ISNUMBER(F96),"OK","Cần kiểm tra"))</x:f>
        <x:v>OK</x:v>
      </x:c>
    </x:row>
    <x:row r="97" ht="21" customHeight="1">
      <x:c r="A97" s="24" t="str">
        <x:v>FM-2026-0096</x:v>
      </x:c>
      <x:c r="B97" s="24" t="str">
        <x:v>MIEN_NUI</x:v>
      </x:c>
      <x:c r="C97" s="21" t="str">
        <x:v>Đỗ Khang 096</x:v>
      </x:c>
      <x:c r="D97" s="21" t="str">
        <x:v>Miền núi</x:v>
      </x:c>
      <x:c r="E97" s="25" t="n">
        <x:v>7.7</x:v>
      </x:c>
      <x:c r="F97" s="26" t="n">
        <x:f>IF(B97="","",IFERROR(VLOOKUP(TRIM(B97),'Giá cước'!$A$2:$D$7,4,FALSE),"Không tìm thấy mã cước"))</x:f>
        <x:v>27000</x:v>
      </x:c>
      <x:c r="G97" s="26" t="n">
        <x:f>IF(OR(B97="",E97=""),"",IFERROR(E97*F97,""))</x:f>
        <x:v>207900</x:v>
      </x:c>
      <x:c r="H97" s="24" t="str">
        <x:f>IF(B97="","",IF(ISNUMBER(F97),"OK","Cần kiểm tra"))</x:f>
        <x:v>OK</x:v>
      </x:c>
    </x:row>
    <x:row r="98" ht="21" customHeight="1">
      <x:c r="A98" s="24" t="str">
        <x:v>FM-2026-0097</x:v>
      </x:c>
      <x:c r="B98" s="24" t="str">
        <x:v>HN_NT</x:v>
      </x:c>
      <x:c r="C98" s="21" t="str">
        <x:v>Bùi Lan 097</x:v>
      </x:c>
      <x:c r="D98" s="21" t="str">
        <x:v>Hà Nội nội thành</x:v>
      </x:c>
      <x:c r="E98" s="25" t="n">
        <x:v>8.4</x:v>
      </x:c>
      <x:c r="F98" s="26" t="n">
        <x:f>IF(B98="","",IFERROR(VLOOKUP(TRIM(B98),'Giá cước'!$A$2:$D$7,4,FALSE),"Không tìm thấy mã cước"))</x:f>
        <x:v>12000</x:v>
      </x:c>
      <x:c r="G98" s="26" t="n">
        <x:f>IF(OR(B98="",E98=""),"",IFERROR(E98*F98,""))</x:f>
        <x:v>100800</x:v>
      </x:c>
      <x:c r="H98" s="24" t="str">
        <x:f>IF(B98="","",IF(ISNUMBER(F98),"OK","Cần kiểm tra"))</x:f>
        <x:v>OK</x:v>
      </x:c>
    </x:row>
    <x:row r="99" ht="21" customHeight="1">
      <x:c r="A99" s="24" t="str">
        <x:v>FM-2026-0098</x:v>
      </x:c>
      <x:c r="B99" s="24" t="str">
        <x:v>HN_LT</x:v>
      </x:c>
      <x:c r="C99" s="21" t="str">
        <x:v>Hoàng Minh 098</x:v>
      </x:c>
      <x:c r="D99" s="21" t="str">
        <x:v>Hà Nội liên tỉnh</x:v>
      </x:c>
      <x:c r="E99" s="25" t="n">
        <x:v>9.1</x:v>
      </x:c>
      <x:c r="F99" s="26" t="n">
        <x:f>IF(B99="","",IFERROR(VLOOKUP(TRIM(B99),'Giá cước'!$A$2:$D$7,4,FALSE),"Không tìm thấy mã cước"))</x:f>
        <x:v>18000</x:v>
      </x:c>
      <x:c r="G99" s="26" t="n">
        <x:f>IF(OR(B99="",E99=""),"",IFERROR(E99*F99,""))</x:f>
        <x:v>163800</x:v>
      </x:c>
      <x:c r="H99" s="24" t="str">
        <x:f>IF(B99="","",IF(ISNUMBER(F99),"OK","Cần kiểm tra"))</x:f>
        <x:v>OK</x:v>
      </x:c>
    </x:row>
    <x:row r="100" ht="21" customHeight="1">
      <x:c r="A100" s="24" t="str">
        <x:v>FM-2026-0099</x:v>
      </x:c>
      <x:c r="B100" s="24" t="str">
        <x:v>HCM_NT</x:v>
      </x:c>
      <x:c r="C100" s="21" t="str">
        <x:v>Phan Ngọc 099</x:v>
      </x:c>
      <x:c r="D100" s="21" t="str">
        <x:v>TP. Hồ Chí Minh nội thành</x:v>
      </x:c>
      <x:c r="E100" s="25" t="n">
        <x:v>9.8</x:v>
      </x:c>
      <x:c r="F100" s="26" t="n">
        <x:f>IF(B100="","",IFERROR(VLOOKUP(TRIM(B100),'Giá cước'!$A$2:$D$7,4,FALSE),"Không tìm thấy mã cước"))</x:f>
        <x:v>13000</x:v>
      </x:c>
      <x:c r="G100" s="26" t="n">
        <x:f>IF(OR(B100="",E100=""),"",IFERROR(E100*F100,""))</x:f>
        <x:v>127400.00000000001</x:v>
      </x:c>
      <x:c r="H100" s="24" t="str">
        <x:f>IF(B100="","",IF(ISNUMBER(F100),"OK","Cần kiểm tra"))</x:f>
        <x:v>OK</x:v>
      </x:c>
    </x:row>
    <x:row r="101" ht="21" customHeight="1">
      <x:c r="A101" s="24" t="str">
        <x:v>FM-2026-0100</x:v>
      </x:c>
      <x:c r="B101" s="24" t="str">
        <x:v>HCM_LT</x:v>
      </x:c>
      <x:c r="C101" s="21" t="str">
        <x:v>Đặng Quân 100</x:v>
      </x:c>
      <x:c r="D101" s="21" t="str">
        <x:v>TP. Hồ Chí Minh liên tỉnh</x:v>
      </x:c>
      <x:c r="E101" s="25" t="n">
        <x:v>10.5</x:v>
      </x:c>
      <x:c r="F101" s="26" t="n">
        <x:f>IF(B101="","",IFERROR(VLOOKUP(TRIM(B101),'Giá cước'!$A$2:$D$7,4,FALSE),"Không tìm thấy mã cước"))</x:f>
        <x:v>19500</x:v>
      </x:c>
      <x:c r="G101" s="26" t="n">
        <x:f>IF(OR(B101="",E101=""),"",IFERROR(E101*F101,""))</x:f>
        <x:v>204750</x:v>
      </x:c>
      <x:c r="H101" s="24" t="str">
        <x:f>IF(B101="","",IF(ISNUMBER(F101),"OK","Cần kiểm tra"))</x:f>
        <x:v>OK</x:v>
      </x:c>
    </x:row>
    <x:row r="102" ht="21" customHeight="1">
      <x:c r="A102" s="24" t="str">
        <x:v>FM-2026-0101</x:v>
      </x:c>
      <x:c r="B102" s="24" t="str">
        <x:v>MIEN_TAY</x:v>
      </x:c>
      <x:c r="C102" s="21" t="str">
        <x:v>Nguyễn An 101</x:v>
      </x:c>
      <x:c r="D102" s="21" t="str">
        <x:v>Miền Tây</x:v>
      </x:c>
      <x:c r="E102" s="25" t="n">
        <x:v>11.2</x:v>
      </x:c>
      <x:c r="F102" s="26" t="n">
        <x:f>IF(B102="","",IFERROR(VLOOKUP(TRIM(B102),'Giá cước'!$A$2:$D$7,4,FALSE),"Không tìm thấy mã cước"))</x:f>
        <x:v>22000</x:v>
      </x:c>
      <x:c r="G102" s="26" t="n">
        <x:f>IF(OR(B102="",E102=""),"",IFERROR(E102*F102,""))</x:f>
        <x:v>246399.99999999997</x:v>
      </x:c>
      <x:c r="H102" s="24" t="str">
        <x:f>IF(B102="","",IF(ISNUMBER(F102),"OK","Cần kiểm tra"))</x:f>
        <x:v>OK</x:v>
      </x:c>
    </x:row>
    <x:row r="103" ht="21" customHeight="1">
      <x:c r="A103" s="24" t="str">
        <x:v>FM-2026-0102</x:v>
      </x:c>
      <x:c r="B103" s="24" t="str">
        <x:v>MIEN_NUI</x:v>
      </x:c>
      <x:c r="C103" s="21" t="str">
        <x:v>Trần Bình 102</x:v>
      </x:c>
      <x:c r="D103" s="21" t="str">
        <x:v>Miền núi</x:v>
      </x:c>
      <x:c r="E103" s="25" t="n">
        <x:v>11.9</x:v>
      </x:c>
      <x:c r="F103" s="26" t="n">
        <x:f>IF(B103="","",IFERROR(VLOOKUP(TRIM(B103),'Giá cước'!$A$2:$D$7,4,FALSE),"Không tìm thấy mã cước"))</x:f>
        <x:v>27000</x:v>
      </x:c>
      <x:c r="G103" s="26" t="n">
        <x:f>IF(OR(B103="",E103=""),"",IFERROR(E103*F103,""))</x:f>
        <x:v>321300</x:v>
      </x:c>
      <x:c r="H103" s="24" t="str">
        <x:f>IF(B103="","",IF(ISNUMBER(F103),"OK","Cần kiểm tra"))</x:f>
        <x:v>OK</x:v>
      </x:c>
    </x:row>
    <x:row r="104" ht="21" customHeight="1">
      <x:c r="A104" s="24" t="str">
        <x:v>FM-2026-0103</x:v>
      </x:c>
      <x:c r="B104" s="24" t="str">
        <x:v>HN_NT</x:v>
      </x:c>
      <x:c r="C104" s="21" t="str">
        <x:v>Lê Chi 103</x:v>
      </x:c>
      <x:c r="D104" s="21" t="str">
        <x:v>Hà Nội nội thành</x:v>
      </x:c>
      <x:c r="E104" s="25" t="n">
        <x:v>0.6</x:v>
      </x:c>
      <x:c r="F104" s="26" t="n">
        <x:f>IF(B104="","",IFERROR(VLOOKUP(TRIM(B104),'Giá cước'!$A$2:$D$7,4,FALSE),"Không tìm thấy mã cước"))</x:f>
        <x:v>12000</x:v>
      </x:c>
      <x:c r="G104" s="26" t="n">
        <x:f>IF(OR(B104="",E104=""),"",IFERROR(E104*F104,""))</x:f>
        <x:v>7200</x:v>
      </x:c>
      <x:c r="H104" s="24" t="str">
        <x:f>IF(B104="","",IF(ISNUMBER(F104),"OK","Cần kiểm tra"))</x:f>
        <x:v>OK</x:v>
      </x:c>
    </x:row>
    <x:row r="105" ht="21" customHeight="1">
      <x:c r="A105" s="24" t="str">
        <x:v>FM-2026-0104</x:v>
      </x:c>
      <x:c r="B105" s="24" t="str">
        <x:v>HN_LT</x:v>
      </x:c>
      <x:c r="C105" s="21" t="str">
        <x:v>Phạm Duy 104</x:v>
      </x:c>
      <x:c r="D105" s="21" t="str">
        <x:v>Hà Nội liên tỉnh</x:v>
      </x:c>
      <x:c r="E105" s="25" t="n">
        <x:v>1.3</x:v>
      </x:c>
      <x:c r="F105" s="26" t="n">
        <x:f>IF(B105="","",IFERROR(VLOOKUP(TRIM(B105),'Giá cước'!$A$2:$D$7,4,FALSE),"Không tìm thấy mã cước"))</x:f>
        <x:v>18000</x:v>
      </x:c>
      <x:c r="G105" s="26" t="n">
        <x:f>IF(OR(B105="",E105=""),"",IFERROR(E105*F105,""))</x:f>
        <x:v>23400</x:v>
      </x:c>
      <x:c r="H105" s="24" t="str">
        <x:f>IF(B105="","",IF(ISNUMBER(F105),"OK","Cần kiểm tra"))</x:f>
        <x:v>OK</x:v>
      </x:c>
    </x:row>
    <x:row r="106" ht="21" customHeight="1">
      <x:c r="A106" s="24" t="str">
        <x:v>FM-2026-0105</x:v>
      </x:c>
      <x:c r="B106" s="24" t="str">
        <x:v>HCM_NT</x:v>
      </x:c>
      <x:c r="C106" s="21" t="str">
        <x:v>Võ Hà 105</x:v>
      </x:c>
      <x:c r="D106" s="21" t="str">
        <x:v>TP. Hồ Chí Minh nội thành</x:v>
      </x:c>
      <x:c r="E106" s="25" t="n">
        <x:v>2</x:v>
      </x:c>
      <x:c r="F106" s="26" t="n">
        <x:f>IF(B106="","",IFERROR(VLOOKUP(TRIM(B106),'Giá cước'!$A$2:$D$7,4,FALSE),"Không tìm thấy mã cước"))</x:f>
        <x:v>13000</x:v>
      </x:c>
      <x:c r="G106" s="26" t="n">
        <x:f>IF(OR(B106="",E106=""),"",IFERROR(E106*F106,""))</x:f>
        <x:v>26000</x:v>
      </x:c>
      <x:c r="H106" s="24" t="str">
        <x:f>IF(B106="","",IF(ISNUMBER(F106),"OK","Cần kiểm tra"))</x:f>
        <x:v>OK</x:v>
      </x:c>
    </x:row>
    <x:row r="107" ht="21" customHeight="1">
      <x:c r="A107" s="24" t="str">
        <x:v>FM-2026-0106</x:v>
      </x:c>
      <x:c r="B107" s="24" t="str">
        <x:v>HCM_LT</x:v>
      </x:c>
      <x:c r="C107" s="21" t="str">
        <x:v>Đỗ Khang 106</x:v>
      </x:c>
      <x:c r="D107" s="21" t="str">
        <x:v>TP. Hồ Chí Minh liên tỉnh</x:v>
      </x:c>
      <x:c r="E107" s="25" t="n">
        <x:v>2.7</x:v>
      </x:c>
      <x:c r="F107" s="26" t="n">
        <x:f>IF(B107="","",IFERROR(VLOOKUP(TRIM(B107),'Giá cước'!$A$2:$D$7,4,FALSE),"Không tìm thấy mã cước"))</x:f>
        <x:v>19500</x:v>
      </x:c>
      <x:c r="G107" s="26" t="n">
        <x:f>IF(OR(B107="",E107=""),"",IFERROR(E107*F107,""))</x:f>
        <x:v>52650</x:v>
      </x:c>
      <x:c r="H107" s="24" t="str">
        <x:f>IF(B107="","",IF(ISNUMBER(F107),"OK","Cần kiểm tra"))</x:f>
        <x:v>OK</x:v>
      </x:c>
    </x:row>
    <x:row r="108" ht="21" customHeight="1">
      <x:c r="A108" s="24" t="str">
        <x:v>FM-2026-0107</x:v>
      </x:c>
      <x:c r="B108" s="24" t="str">
        <x:v>MIEN_TAY</x:v>
      </x:c>
      <x:c r="C108" s="21" t="str">
        <x:v>Bùi Lan 107</x:v>
      </x:c>
      <x:c r="D108" s="21" t="str">
        <x:v>Miền Tây</x:v>
      </x:c>
      <x:c r="E108" s="25" t="n">
        <x:v>3.4</x:v>
      </x:c>
      <x:c r="F108" s="26" t="n">
        <x:f>IF(B108="","",IFERROR(VLOOKUP(TRIM(B108),'Giá cước'!$A$2:$D$7,4,FALSE),"Không tìm thấy mã cước"))</x:f>
        <x:v>22000</x:v>
      </x:c>
      <x:c r="G108" s="26" t="n">
        <x:f>IF(OR(B108="",E108=""),"",IFERROR(E108*F108,""))</x:f>
        <x:v>74800</x:v>
      </x:c>
      <x:c r="H108" s="24" t="str">
        <x:f>IF(B108="","",IF(ISNUMBER(F108),"OK","Cần kiểm tra"))</x:f>
        <x:v>OK</x:v>
      </x:c>
    </x:row>
    <x:row r="109" ht="21" customHeight="1">
      <x:c r="A109" s="24" t="str">
        <x:v>FM-2026-0108</x:v>
      </x:c>
      <x:c r="B109" s="24" t="str">
        <x:v>MIEN_NUI</x:v>
      </x:c>
      <x:c r="C109" s="21" t="str">
        <x:v>Hoàng Minh 108</x:v>
      </x:c>
      <x:c r="D109" s="21" t="str">
        <x:v>Miền núi</x:v>
      </x:c>
      <x:c r="E109" s="25" t="n">
        <x:v>4.1</x:v>
      </x:c>
      <x:c r="F109" s="26" t="n">
        <x:f>IF(B109="","",IFERROR(VLOOKUP(TRIM(B109),'Giá cước'!$A$2:$D$7,4,FALSE),"Không tìm thấy mã cước"))</x:f>
        <x:v>27000</x:v>
      </x:c>
      <x:c r="G109" s="26" t="n">
        <x:f>IF(OR(B109="",E109=""),"",IFERROR(E109*F109,""))</x:f>
        <x:v>110699.99999999999</x:v>
      </x:c>
      <x:c r="H109" s="24" t="str">
        <x:f>IF(B109="","",IF(ISNUMBER(F109),"OK","Cần kiểm tra"))</x:f>
        <x:v>OK</x:v>
      </x:c>
    </x:row>
    <x:row r="110" ht="21" customHeight="1">
      <x:c r="A110" s="24" t="str">
        <x:v>FM-2026-0109</x:v>
      </x:c>
      <x:c r="B110" s="24" t="str">
        <x:v>HN_NT</x:v>
      </x:c>
      <x:c r="C110" s="21" t="str">
        <x:v>Phan Ngọc 109</x:v>
      </x:c>
      <x:c r="D110" s="21" t="str">
        <x:v>Hà Nội nội thành</x:v>
      </x:c>
      <x:c r="E110" s="25" t="n">
        <x:v>4.8</x:v>
      </x:c>
      <x:c r="F110" s="26" t="n">
        <x:f>IF(B110="","",IFERROR(VLOOKUP(TRIM(B110),'Giá cước'!$A$2:$D$7,4,FALSE),"Không tìm thấy mã cước"))</x:f>
        <x:v>12000</x:v>
      </x:c>
      <x:c r="G110" s="26" t="n">
        <x:f>IF(OR(B110="",E110=""),"",IFERROR(E110*F110,""))</x:f>
        <x:v>57600</x:v>
      </x:c>
      <x:c r="H110" s="24" t="str">
        <x:f>IF(B110="","",IF(ISNUMBER(F110),"OK","Cần kiểm tra"))</x:f>
        <x:v>OK</x:v>
      </x:c>
    </x:row>
    <x:row r="111" ht="21" customHeight="1">
      <x:c r="A111" s="24" t="str">
        <x:v>FM-2026-0110</x:v>
      </x:c>
      <x:c r="B111" s="24" t="str">
        <x:v>HN_LT</x:v>
      </x:c>
      <x:c r="C111" s="21" t="str">
        <x:v>Đặng Quân 110</x:v>
      </x:c>
      <x:c r="D111" s="21" t="str">
        <x:v>Hà Nội liên tỉnh</x:v>
      </x:c>
      <x:c r="E111" s="25" t="n">
        <x:v>5.5</x:v>
      </x:c>
      <x:c r="F111" s="26" t="n">
        <x:f>IF(B111="","",IFERROR(VLOOKUP(TRIM(B111),'Giá cước'!$A$2:$D$7,4,FALSE),"Không tìm thấy mã cước"))</x:f>
        <x:v>18000</x:v>
      </x:c>
      <x:c r="G111" s="26" t="n">
        <x:f>IF(OR(B111="",E111=""),"",IFERROR(E111*F111,""))</x:f>
        <x:v>99000</x:v>
      </x:c>
      <x:c r="H111" s="24" t="str">
        <x:f>IF(B111="","",IF(ISNUMBER(F111),"OK","Cần kiểm tra"))</x:f>
        <x:v>OK</x:v>
      </x:c>
    </x:row>
    <x:row r="112" ht="21" customHeight="1">
      <x:c r="A112" s="24" t="str">
        <x:v>FM-2026-0111</x:v>
      </x:c>
      <x:c r="B112" s="24" t="str">
        <x:v>HCM_NT</x:v>
      </x:c>
      <x:c r="C112" s="21" t="str">
        <x:v>Nguyễn An 111</x:v>
      </x:c>
      <x:c r="D112" s="21" t="str">
        <x:v>TP. Hồ Chí Minh nội thành</x:v>
      </x:c>
      <x:c r="E112" s="25" t="n">
        <x:v>6.2</x:v>
      </x:c>
      <x:c r="F112" s="26" t="n">
        <x:f>IF(B112="","",IFERROR(VLOOKUP(TRIM(B112),'Giá cước'!$A$2:$D$7,4,FALSE),"Không tìm thấy mã cước"))</x:f>
        <x:v>13000</x:v>
      </x:c>
      <x:c r="G112" s="26" t="n">
        <x:f>IF(OR(B112="",E112=""),"",IFERROR(E112*F112,""))</x:f>
        <x:v>80600</x:v>
      </x:c>
      <x:c r="H112" s="24" t="str">
        <x:f>IF(B112="","",IF(ISNUMBER(F112),"OK","Cần kiểm tra"))</x:f>
        <x:v>OK</x:v>
      </x:c>
    </x:row>
    <x:row r="113" ht="21" customHeight="1">
      <x:c r="A113" s="24" t="str">
        <x:v>FM-2026-0112</x:v>
      </x:c>
      <x:c r="B113" s="24" t="str">
        <x:v>HCM_LT</x:v>
      </x:c>
      <x:c r="C113" s="21" t="str">
        <x:v>Trần Bình 112</x:v>
      </x:c>
      <x:c r="D113" s="21" t="str">
        <x:v>TP. Hồ Chí Minh liên tỉnh</x:v>
      </x:c>
      <x:c r="E113" s="25" t="n">
        <x:v>6.9</x:v>
      </x:c>
      <x:c r="F113" s="26" t="n">
        <x:f>IF(B113="","",IFERROR(VLOOKUP(TRIM(B113),'Giá cước'!$A$2:$D$7,4,FALSE),"Không tìm thấy mã cước"))</x:f>
        <x:v>19500</x:v>
      </x:c>
      <x:c r="G113" s="26" t="n">
        <x:f>IF(OR(B113="",E113=""),"",IFERROR(E113*F113,""))</x:f>
        <x:v>134550</x:v>
      </x:c>
      <x:c r="H113" s="24" t="str">
        <x:f>IF(B113="","",IF(ISNUMBER(F113),"OK","Cần kiểm tra"))</x:f>
        <x:v>OK</x:v>
      </x:c>
    </x:row>
    <x:row r="114" ht="21" customHeight="1">
      <x:c r="A114" s="24" t="str">
        <x:v>FM-2026-0113</x:v>
      </x:c>
      <x:c r="B114" s="24" t="str">
        <x:v>MIEN_TAY</x:v>
      </x:c>
      <x:c r="C114" s="21" t="str">
        <x:v>Lê Chi 113</x:v>
      </x:c>
      <x:c r="D114" s="21" t="str">
        <x:v>Miền Tây</x:v>
      </x:c>
      <x:c r="E114" s="25" t="n">
        <x:v>7.6</x:v>
      </x:c>
      <x:c r="F114" s="26" t="n">
        <x:f>IF(B114="","",IFERROR(VLOOKUP(TRIM(B114),'Giá cước'!$A$2:$D$7,4,FALSE),"Không tìm thấy mã cước"))</x:f>
        <x:v>22000</x:v>
      </x:c>
      <x:c r="G114" s="26" t="n">
        <x:f>IF(OR(B114="",E114=""),"",IFERROR(E114*F114,""))</x:f>
        <x:v>167200</x:v>
      </x:c>
      <x:c r="H114" s="24" t="str">
        <x:f>IF(B114="","",IF(ISNUMBER(F114),"OK","Cần kiểm tra"))</x:f>
        <x:v>OK</x:v>
      </x:c>
    </x:row>
    <x:row r="115" ht="21" customHeight="1">
      <x:c r="A115" s="24" t="str">
        <x:v>FM-2026-0114</x:v>
      </x:c>
      <x:c r="B115" s="24" t="str">
        <x:v>MIEN_NUI</x:v>
      </x:c>
      <x:c r="C115" s="21" t="str">
        <x:v>Phạm Duy 114</x:v>
      </x:c>
      <x:c r="D115" s="21" t="str">
        <x:v>Miền núi</x:v>
      </x:c>
      <x:c r="E115" s="25" t="n">
        <x:v>8.3</x:v>
      </x:c>
      <x:c r="F115" s="26" t="n">
        <x:f>IF(B115="","",IFERROR(VLOOKUP(TRIM(B115),'Giá cước'!$A$2:$D$7,4,FALSE),"Không tìm thấy mã cước"))</x:f>
        <x:v>27000</x:v>
      </x:c>
      <x:c r="G115" s="26" t="n">
        <x:f>IF(OR(B115="",E115=""),"",IFERROR(E115*F115,""))</x:f>
        <x:v>224100.00000000003</x:v>
      </x:c>
      <x:c r="H115" s="24" t="str">
        <x:f>IF(B115="","",IF(ISNUMBER(F115),"OK","Cần kiểm tra"))</x:f>
        <x:v>OK</x:v>
      </x:c>
    </x:row>
    <x:row r="116" ht="21" customHeight="1">
      <x:c r="A116" s="24" t="str">
        <x:v>FM-2026-0115</x:v>
      </x:c>
      <x:c r="B116" s="24" t="str">
        <x:v>HN_NT</x:v>
      </x:c>
      <x:c r="C116" s="21" t="str">
        <x:v>Võ Hà 115</x:v>
      </x:c>
      <x:c r="D116" s="21" t="str">
        <x:v>Hà Nội nội thành</x:v>
      </x:c>
      <x:c r="E116" s="25" t="n">
        <x:v>9</x:v>
      </x:c>
      <x:c r="F116" s="26" t="n">
        <x:f>IF(B116="","",IFERROR(VLOOKUP(TRIM(B116),'Giá cước'!$A$2:$D$7,4,FALSE),"Không tìm thấy mã cước"))</x:f>
        <x:v>12000</x:v>
      </x:c>
      <x:c r="G116" s="26" t="n">
        <x:f>IF(OR(B116="",E116=""),"",IFERROR(E116*F116,""))</x:f>
        <x:v>108000</x:v>
      </x:c>
      <x:c r="H116" s="24" t="str">
        <x:f>IF(B116="","",IF(ISNUMBER(F116),"OK","Cần kiểm tra"))</x:f>
        <x:v>OK</x:v>
      </x:c>
    </x:row>
    <x:row r="117" ht="21" customHeight="1">
      <x:c r="A117" s="24" t="str">
        <x:v>FM-2026-0116</x:v>
      </x:c>
      <x:c r="B117" s="24" t="str">
        <x:v>HN_LT</x:v>
      </x:c>
      <x:c r="C117" s="21" t="str">
        <x:v>Đỗ Khang 116</x:v>
      </x:c>
      <x:c r="D117" s="21" t="str">
        <x:v>Hà Nội liên tỉnh</x:v>
      </x:c>
      <x:c r="E117" s="25" t="n">
        <x:v>9.7</x:v>
      </x:c>
      <x:c r="F117" s="26" t="n">
        <x:f>IF(B117="","",IFERROR(VLOOKUP(TRIM(B117),'Giá cước'!$A$2:$D$7,4,FALSE),"Không tìm thấy mã cước"))</x:f>
        <x:v>18000</x:v>
      </x:c>
      <x:c r="G117" s="26" t="n">
        <x:f>IF(OR(B117="",E117=""),"",IFERROR(E117*F117,""))</x:f>
        <x:v>174600</x:v>
      </x:c>
      <x:c r="H117" s="24" t="str">
        <x:f>IF(B117="","",IF(ISNUMBER(F117),"OK","Cần kiểm tra"))</x:f>
        <x:v>OK</x:v>
      </x:c>
    </x:row>
    <x:row r="118" ht="21" customHeight="1">
      <x:c r="A118" s="24" t="str">
        <x:v>FM-2026-0117</x:v>
      </x:c>
      <x:c r="B118" s="24" t="str">
        <x:v>HCM_NT</x:v>
      </x:c>
      <x:c r="C118" s="21" t="str">
        <x:v>Bùi Lan 117</x:v>
      </x:c>
      <x:c r="D118" s="21" t="str">
        <x:v>TP. Hồ Chí Minh nội thành</x:v>
      </x:c>
      <x:c r="E118" s="25" t="n">
        <x:v>10.4</x:v>
      </x:c>
      <x:c r="F118" s="26" t="n">
        <x:f>IF(B118="","",IFERROR(VLOOKUP(TRIM(B118),'Giá cước'!$A$2:$D$7,4,FALSE),"Không tìm thấy mã cước"))</x:f>
        <x:v>13000</x:v>
      </x:c>
      <x:c r="G118" s="26" t="n">
        <x:f>IF(OR(B118="",E118=""),"",IFERROR(E118*F118,""))</x:f>
        <x:v>135200</x:v>
      </x:c>
      <x:c r="H118" s="24" t="str">
        <x:f>IF(B118="","",IF(ISNUMBER(F118),"OK","Cần kiểm tra"))</x:f>
        <x:v>OK</x:v>
      </x:c>
    </x:row>
    <x:row r="119" ht="21" customHeight="1">
      <x:c r="A119" s="24" t="str">
        <x:v>FM-2026-0118</x:v>
      </x:c>
      <x:c r="B119" s="24" t="str">
        <x:v>HCM_LT</x:v>
      </x:c>
      <x:c r="C119" s="21" t="str">
        <x:v>Hoàng Minh 118</x:v>
      </x:c>
      <x:c r="D119" s="21" t="str">
        <x:v>TP. Hồ Chí Minh liên tỉnh</x:v>
      </x:c>
      <x:c r="E119" s="25" t="n">
        <x:v>11.1</x:v>
      </x:c>
      <x:c r="F119" s="26" t="n">
        <x:f>IF(B119="","",IFERROR(VLOOKUP(TRIM(B119),'Giá cước'!$A$2:$D$7,4,FALSE),"Không tìm thấy mã cước"))</x:f>
        <x:v>19500</x:v>
      </x:c>
      <x:c r="G119" s="26" t="n">
        <x:f>IF(OR(B119="",E119=""),"",IFERROR(E119*F119,""))</x:f>
        <x:v>216450</x:v>
      </x:c>
      <x:c r="H119" s="24" t="str">
        <x:f>IF(B119="","",IF(ISNUMBER(F119),"OK","Cần kiểm tra"))</x:f>
        <x:v>OK</x:v>
      </x:c>
    </x:row>
    <x:row r="120" ht="21" customHeight="1">
      <x:c r="A120" s="24" t="str">
        <x:v>FM-2026-0119</x:v>
      </x:c>
      <x:c r="B120" s="24" t="str">
        <x:v>MIEN_TAY</x:v>
      </x:c>
      <x:c r="C120" s="21" t="str">
        <x:v>Phan Ngọc 119</x:v>
      </x:c>
      <x:c r="D120" s="21" t="str">
        <x:v>Miền Tây</x:v>
      </x:c>
      <x:c r="E120" s="25" t="n">
        <x:v>11.8</x:v>
      </x:c>
      <x:c r="F120" s="26" t="n">
        <x:f>IF(B120="","",IFERROR(VLOOKUP(TRIM(B120),'Giá cước'!$A$2:$D$7,4,FALSE),"Không tìm thấy mã cước"))</x:f>
        <x:v>22000</x:v>
      </x:c>
      <x:c r="G120" s="26" t="n">
        <x:f>IF(OR(B120="",E120=""),"",IFERROR(E120*F120,""))</x:f>
        <x:v>259600.00000000003</x:v>
      </x:c>
      <x:c r="H120" s="24" t="str">
        <x:f>IF(B120="","",IF(ISNUMBER(F120),"OK","Cần kiểm tra"))</x:f>
        <x:v>OK</x:v>
      </x:c>
    </x:row>
    <x:row r="121" ht="21" customHeight="1">
      <x:c r="A121" s="24" t="str">
        <x:v>FM-2026-0120</x:v>
      </x:c>
      <x:c r="B121" s="24" t="str">
        <x:v>MIEN_NUI</x:v>
      </x:c>
      <x:c r="C121" s="21" t="str">
        <x:v>Đặng Quân 120</x:v>
      </x:c>
      <x:c r="D121" s="21" t="str">
        <x:v>Miền núi</x:v>
      </x:c>
      <x:c r="E121" s="25" t="n">
        <x:v>0.5</x:v>
      </x:c>
      <x:c r="F121" s="26" t="n">
        <x:f>IF(B121="","",IFERROR(VLOOKUP(TRIM(B121),'Giá cước'!$A$2:$D$7,4,FALSE),"Không tìm thấy mã cước"))</x:f>
        <x:v>27000</x:v>
      </x:c>
      <x:c r="G121" s="26" t="n">
        <x:f>IF(OR(B121="",E121=""),"",IFERROR(E121*F121,""))</x:f>
        <x:v>13500</x:v>
      </x:c>
      <x:c r="H121" s="24" t="str">
        <x:f>IF(B121="","",IF(ISNUMBER(F121),"OK","Cần kiểm tra"))</x:f>
        <x:v>OK</x:v>
      </x:c>
    </x:row>
    <x:row r="122" ht="21" customHeight="1">
      <x:c r="A122" s="24" t="str">
        <x:v>FM-2026-0121</x:v>
      </x:c>
      <x:c r="B122" s="24" t="str">
        <x:v>HN_NT</x:v>
      </x:c>
      <x:c r="C122" s="21" t="str">
        <x:v>Nguyễn An 121</x:v>
      </x:c>
      <x:c r="D122" s="21" t="str">
        <x:v>Hà Nội nội thành</x:v>
      </x:c>
      <x:c r="E122" s="25" t="n">
        <x:v>1.2</x:v>
      </x:c>
      <x:c r="F122" s="26" t="n">
        <x:f>IF(B122="","",IFERROR(VLOOKUP(TRIM(B122),'Giá cước'!$A$2:$D$7,4,FALSE),"Không tìm thấy mã cước"))</x:f>
        <x:v>12000</x:v>
      </x:c>
      <x:c r="G122" s="26" t="n">
        <x:f>IF(OR(B122="",E122=""),"",IFERROR(E122*F122,""))</x:f>
        <x:v>14400</x:v>
      </x:c>
      <x:c r="H122" s="24" t="str">
        <x:f>IF(B122="","",IF(ISNUMBER(F122),"OK","Cần kiểm tra"))</x:f>
        <x:v>OK</x:v>
      </x:c>
    </x:row>
    <x:row r="123" ht="21" customHeight="1">
      <x:c r="A123" s="24" t="str">
        <x:v>FM-2026-0122</x:v>
      </x:c>
      <x:c r="B123" s="24" t="str">
        <x:v>HN_LT</x:v>
      </x:c>
      <x:c r="C123" s="21" t="str">
        <x:v>Trần Bình 122</x:v>
      </x:c>
      <x:c r="D123" s="21" t="str">
        <x:v>Hà Nội liên tỉnh</x:v>
      </x:c>
      <x:c r="E123" s="25" t="n">
        <x:v>1.9</x:v>
      </x:c>
      <x:c r="F123" s="26" t="n">
        <x:f>IF(B123="","",IFERROR(VLOOKUP(TRIM(B123),'Giá cước'!$A$2:$D$7,4,FALSE),"Không tìm thấy mã cước"))</x:f>
        <x:v>18000</x:v>
      </x:c>
      <x:c r="G123" s="26" t="n">
        <x:f>IF(OR(B123="",E123=""),"",IFERROR(E123*F123,""))</x:f>
        <x:v>34200</x:v>
      </x:c>
      <x:c r="H123" s="24" t="str">
        <x:f>IF(B123="","",IF(ISNUMBER(F123),"OK","Cần kiểm tra"))</x:f>
        <x:v>OK</x:v>
      </x:c>
    </x:row>
    <x:row r="124" ht="21" customHeight="1">
      <x:c r="A124" s="24" t="str">
        <x:v>FM-2026-0123</x:v>
      </x:c>
      <x:c r="B124" s="24" t="str">
        <x:v>HCM_NT</x:v>
      </x:c>
      <x:c r="C124" s="21" t="str">
        <x:v>Lê Chi 123</x:v>
      </x:c>
      <x:c r="D124" s="21" t="str">
        <x:v>TP. Hồ Chí Minh nội thành</x:v>
      </x:c>
      <x:c r="E124" s="25" t="n">
        <x:v>2.6</x:v>
      </x:c>
      <x:c r="F124" s="26" t="n">
        <x:f>IF(B124="","",IFERROR(VLOOKUP(TRIM(B124),'Giá cước'!$A$2:$D$7,4,FALSE),"Không tìm thấy mã cước"))</x:f>
        <x:v>13000</x:v>
      </x:c>
      <x:c r="G124" s="26" t="n">
        <x:f>IF(OR(B124="",E124=""),"",IFERROR(E124*F124,""))</x:f>
        <x:v>33800</x:v>
      </x:c>
      <x:c r="H124" s="24" t="str">
        <x:f>IF(B124="","",IF(ISNUMBER(F124),"OK","Cần kiểm tra"))</x:f>
        <x:v>OK</x:v>
      </x:c>
    </x:row>
    <x:row r="125" ht="21" customHeight="1">
      <x:c r="A125" s="24" t="str">
        <x:v>FM-2026-0124</x:v>
      </x:c>
      <x:c r="B125" s="24" t="str">
        <x:v>HCM_LT</x:v>
      </x:c>
      <x:c r="C125" s="21" t="str">
        <x:v>Phạm Duy 124</x:v>
      </x:c>
      <x:c r="D125" s="21" t="str">
        <x:v>TP. Hồ Chí Minh liên tỉnh</x:v>
      </x:c>
      <x:c r="E125" s="25" t="n">
        <x:v>3.3</x:v>
      </x:c>
      <x:c r="F125" s="26" t="n">
        <x:f>IF(B125="","",IFERROR(VLOOKUP(TRIM(B125),'Giá cước'!$A$2:$D$7,4,FALSE),"Không tìm thấy mã cước"))</x:f>
        <x:v>19500</x:v>
      </x:c>
      <x:c r="G125" s="26" t="n">
        <x:f>IF(OR(B125="",E125=""),"",IFERROR(E125*F125,""))</x:f>
        <x:v>64350</x:v>
      </x:c>
      <x:c r="H125" s="24" t="str">
        <x:f>IF(B125="","",IF(ISNUMBER(F125),"OK","Cần kiểm tra"))</x:f>
        <x:v>OK</x:v>
      </x:c>
    </x:row>
    <x:row r="126" ht="21" customHeight="1">
      <x:c r="A126" s="24" t="str">
        <x:v>FM-2026-0125</x:v>
      </x:c>
      <x:c r="B126" s="24" t="str">
        <x:v>MIEN_TAY</x:v>
      </x:c>
      <x:c r="C126" s="21" t="str">
        <x:v>Võ Hà 125</x:v>
      </x:c>
      <x:c r="D126" s="21" t="str">
        <x:v>Miền Tây</x:v>
      </x:c>
      <x:c r="E126" s="25" t="n">
        <x:v>4</x:v>
      </x:c>
      <x:c r="F126" s="26" t="n">
        <x:f>IF(B126="","",IFERROR(VLOOKUP(TRIM(B126),'Giá cước'!$A$2:$D$7,4,FALSE),"Không tìm thấy mã cước"))</x:f>
        <x:v>22000</x:v>
      </x:c>
      <x:c r="G126" s="26" t="n">
        <x:f>IF(OR(B126="",E126=""),"",IFERROR(E126*F126,""))</x:f>
        <x:v>88000</x:v>
      </x:c>
      <x:c r="H126" s="24" t="str">
        <x:f>IF(B126="","",IF(ISNUMBER(F126),"OK","Cần kiểm tra"))</x:f>
        <x:v>OK</x:v>
      </x:c>
    </x:row>
    <x:row r="127" ht="21" customHeight="1">
      <x:c r="A127" s="24" t="str">
        <x:v>FM-2026-0126</x:v>
      </x:c>
      <x:c r="B127" s="24" t="str">
        <x:v>MIEN_NUI</x:v>
      </x:c>
      <x:c r="C127" s="21" t="str">
        <x:v>Đỗ Khang 126</x:v>
      </x:c>
      <x:c r="D127" s="21" t="str">
        <x:v>Miền núi</x:v>
      </x:c>
      <x:c r="E127" s="25" t="n">
        <x:v>4.7</x:v>
      </x:c>
      <x:c r="F127" s="26" t="n">
        <x:f>IF(B127="","",IFERROR(VLOOKUP(TRIM(B127),'Giá cước'!$A$2:$D$7,4,FALSE),"Không tìm thấy mã cước"))</x:f>
        <x:v>27000</x:v>
      </x:c>
      <x:c r="G127" s="26" t="n">
        <x:f>IF(OR(B127="",E127=""),"",IFERROR(E127*F127,""))</x:f>
        <x:v>126900</x:v>
      </x:c>
      <x:c r="H127" s="24" t="str">
        <x:f>IF(B127="","",IF(ISNUMBER(F127),"OK","Cần kiểm tra"))</x:f>
        <x:v>OK</x:v>
      </x:c>
    </x:row>
    <x:row r="128" ht="21" customHeight="1">
      <x:c r="A128" s="24" t="str">
        <x:v>FM-2026-0127</x:v>
      </x:c>
      <x:c r="B128" s="24" t="str">
        <x:v>HN_NT</x:v>
      </x:c>
      <x:c r="C128" s="21" t="str">
        <x:v>Bùi Lan 127</x:v>
      </x:c>
      <x:c r="D128" s="21" t="str">
        <x:v>Hà Nội nội thành</x:v>
      </x:c>
      <x:c r="E128" s="25" t="n">
        <x:v>5.4</x:v>
      </x:c>
      <x:c r="F128" s="26" t="n">
        <x:f>IF(B128="","",IFERROR(VLOOKUP(TRIM(B128),'Giá cước'!$A$2:$D$7,4,FALSE),"Không tìm thấy mã cước"))</x:f>
        <x:v>12000</x:v>
      </x:c>
      <x:c r="G128" s="26" t="n">
        <x:f>IF(OR(B128="",E128=""),"",IFERROR(E128*F128,""))</x:f>
        <x:v>64800.00000000001</x:v>
      </x:c>
      <x:c r="H128" s="24" t="str">
        <x:f>IF(B128="","",IF(ISNUMBER(F128),"OK","Cần kiểm tra"))</x:f>
        <x:v>OK</x:v>
      </x:c>
    </x:row>
    <x:row r="129" ht="21" customHeight="1">
      <x:c r="A129" s="24" t="str">
        <x:v>FM-2026-0128</x:v>
      </x:c>
      <x:c r="B129" s="24" t="str">
        <x:v>HN_LT</x:v>
      </x:c>
      <x:c r="C129" s="21" t="str">
        <x:v>Hoàng Minh 128</x:v>
      </x:c>
      <x:c r="D129" s="21" t="str">
        <x:v>Hà Nội liên tỉnh</x:v>
      </x:c>
      <x:c r="E129" s="25" t="n">
        <x:v>6.1</x:v>
      </x:c>
      <x:c r="F129" s="26" t="n">
        <x:f>IF(B129="","",IFERROR(VLOOKUP(TRIM(B129),'Giá cước'!$A$2:$D$7,4,FALSE),"Không tìm thấy mã cước"))</x:f>
        <x:v>18000</x:v>
      </x:c>
      <x:c r="G129" s="26" t="n">
        <x:f>IF(OR(B129="",E129=""),"",IFERROR(E129*F129,""))</x:f>
        <x:v>109800</x:v>
      </x:c>
      <x:c r="H129" s="24" t="str">
        <x:f>IF(B129="","",IF(ISNUMBER(F129),"OK","Cần kiểm tra"))</x:f>
        <x:v>OK</x:v>
      </x:c>
    </x:row>
    <x:row r="130" ht="21" customHeight="1">
      <x:c r="A130" s="24" t="str">
        <x:v>FM-2026-0129</x:v>
      </x:c>
      <x:c r="B130" s="24" t="str">
        <x:v>HCM_NT</x:v>
      </x:c>
      <x:c r="C130" s="21" t="str">
        <x:v>Phan Ngọc 129</x:v>
      </x:c>
      <x:c r="D130" s="21" t="str">
        <x:v>TP. Hồ Chí Minh nội thành</x:v>
      </x:c>
      <x:c r="E130" s="25" t="n">
        <x:v>6.8</x:v>
      </x:c>
      <x:c r="F130" s="26" t="n">
        <x:f>IF(B130="","",IFERROR(VLOOKUP(TRIM(B130),'Giá cước'!$A$2:$D$7,4,FALSE),"Không tìm thấy mã cước"))</x:f>
        <x:v>13000</x:v>
      </x:c>
      <x:c r="G130" s="26" t="n">
        <x:f>IF(OR(B130="",E130=""),"",IFERROR(E130*F130,""))</x:f>
        <x:v>88400</x:v>
      </x:c>
      <x:c r="H130" s="24" t="str">
        <x:f>IF(B130="","",IF(ISNUMBER(F130),"OK","Cần kiểm tra"))</x:f>
        <x:v>OK</x:v>
      </x:c>
    </x:row>
    <x:row r="131" ht="21" customHeight="1">
      <x:c r="A131" s="24" t="str">
        <x:v>FM-2026-0130</x:v>
      </x:c>
      <x:c r="B131" s="24" t="str">
        <x:v>HCM_LT</x:v>
      </x:c>
      <x:c r="C131" s="21" t="str">
        <x:v>Đặng Quân 130</x:v>
      </x:c>
      <x:c r="D131" s="21" t="str">
        <x:v>TP. Hồ Chí Minh liên tỉnh</x:v>
      </x:c>
      <x:c r="E131" s="25" t="n">
        <x:v>7.5</x:v>
      </x:c>
      <x:c r="F131" s="26" t="n">
        <x:f>IF(B131="","",IFERROR(VLOOKUP(TRIM(B131),'Giá cước'!$A$2:$D$7,4,FALSE),"Không tìm thấy mã cước"))</x:f>
        <x:v>19500</x:v>
      </x:c>
      <x:c r="G131" s="26" t="n">
        <x:f>IF(OR(B131="",E131=""),"",IFERROR(E131*F131,""))</x:f>
        <x:v>146250</x:v>
      </x:c>
      <x:c r="H131" s="24" t="str">
        <x:f>IF(B131="","",IF(ISNUMBER(F131),"OK","Cần kiểm tra"))</x:f>
        <x:v>OK</x:v>
      </x:c>
    </x:row>
    <x:row r="132" ht="21" customHeight="1">
      <x:c r="A132" s="24" t="str">
        <x:v>FM-2026-0131</x:v>
      </x:c>
      <x:c r="B132" s="24" t="str">
        <x:v>MIEN_TAY</x:v>
      </x:c>
      <x:c r="C132" s="21" t="str">
        <x:v>Nguyễn An 131</x:v>
      </x:c>
      <x:c r="D132" s="21" t="str">
        <x:v>Miền Tây</x:v>
      </x:c>
      <x:c r="E132" s="25" t="n">
        <x:v>8.2</x:v>
      </x:c>
      <x:c r="F132" s="26" t="n">
        <x:f>IF(B132="","",IFERROR(VLOOKUP(TRIM(B132),'Giá cước'!$A$2:$D$7,4,FALSE),"Không tìm thấy mã cước"))</x:f>
        <x:v>22000</x:v>
      </x:c>
      <x:c r="G132" s="26" t="n">
        <x:f>IF(OR(B132="",E132=""),"",IFERROR(E132*F132,""))</x:f>
        <x:v>180399.99999999997</x:v>
      </x:c>
      <x:c r="H132" s="24" t="str">
        <x:f>IF(B132="","",IF(ISNUMBER(F132),"OK","Cần kiểm tra"))</x:f>
        <x:v>OK</x:v>
      </x:c>
    </x:row>
    <x:row r="133" ht="21" customHeight="1">
      <x:c r="A133" s="24" t="str">
        <x:v>FM-2026-0132</x:v>
      </x:c>
      <x:c r="B133" s="24" t="str">
        <x:v>MIEN_NUI</x:v>
      </x:c>
      <x:c r="C133" s="21" t="str">
        <x:v>Trần Bình 132</x:v>
      </x:c>
      <x:c r="D133" s="21" t="str">
        <x:v>Miền núi</x:v>
      </x:c>
      <x:c r="E133" s="25" t="n">
        <x:v>8.9</x:v>
      </x:c>
      <x:c r="F133" s="26" t="n">
        <x:f>IF(B133="","",IFERROR(VLOOKUP(TRIM(B133),'Giá cước'!$A$2:$D$7,4,FALSE),"Không tìm thấy mã cước"))</x:f>
        <x:v>27000</x:v>
      </x:c>
      <x:c r="G133" s="26" t="n">
        <x:f>IF(OR(B133="",E133=""),"",IFERROR(E133*F133,""))</x:f>
        <x:v>240300</x:v>
      </x:c>
      <x:c r="H133" s="24" t="str">
        <x:f>IF(B133="","",IF(ISNUMBER(F133),"OK","Cần kiểm tra"))</x:f>
        <x:v>OK</x:v>
      </x:c>
    </x:row>
    <x:row r="134" ht="21" customHeight="1">
      <x:c r="A134" s="24" t="str">
        <x:v>FM-2026-0133</x:v>
      </x:c>
      <x:c r="B134" s="24" t="str">
        <x:v>HN_NT</x:v>
      </x:c>
      <x:c r="C134" s="21" t="str">
        <x:v>Lê Chi 133</x:v>
      </x:c>
      <x:c r="D134" s="21" t="str">
        <x:v>Hà Nội nội thành</x:v>
      </x:c>
      <x:c r="E134" s="25" t="n">
        <x:v>9.6</x:v>
      </x:c>
      <x:c r="F134" s="26" t="n">
        <x:f>IF(B134="","",IFERROR(VLOOKUP(TRIM(B134),'Giá cước'!$A$2:$D$7,4,FALSE),"Không tìm thấy mã cước"))</x:f>
        <x:v>12000</x:v>
      </x:c>
      <x:c r="G134" s="26" t="n">
        <x:f>IF(OR(B134="",E134=""),"",IFERROR(E134*F134,""))</x:f>
        <x:v>115200</x:v>
      </x:c>
      <x:c r="H134" s="24" t="str">
        <x:f>IF(B134="","",IF(ISNUMBER(F134),"OK","Cần kiểm tra"))</x:f>
        <x:v>OK</x:v>
      </x:c>
    </x:row>
    <x:row r="135" ht="21" customHeight="1">
      <x:c r="A135" s="24" t="str">
        <x:v>FM-2026-0134</x:v>
      </x:c>
      <x:c r="B135" s="24" t="str">
        <x:v>HN_LT</x:v>
      </x:c>
      <x:c r="C135" s="21" t="str">
        <x:v>Phạm Duy 134</x:v>
      </x:c>
      <x:c r="D135" s="21" t="str">
        <x:v>Hà Nội liên tỉnh</x:v>
      </x:c>
      <x:c r="E135" s="25" t="n">
        <x:v>10.3</x:v>
      </x:c>
      <x:c r="F135" s="26" t="n">
        <x:f>IF(B135="","",IFERROR(VLOOKUP(TRIM(B135),'Giá cước'!$A$2:$D$7,4,FALSE),"Không tìm thấy mã cước"))</x:f>
        <x:v>18000</x:v>
      </x:c>
      <x:c r="G135" s="26" t="n">
        <x:f>IF(OR(B135="",E135=""),"",IFERROR(E135*F135,""))</x:f>
        <x:v>185400</x:v>
      </x:c>
      <x:c r="H135" s="24" t="str">
        <x:f>IF(B135="","",IF(ISNUMBER(F135),"OK","Cần kiểm tra"))</x:f>
        <x:v>OK</x:v>
      </x:c>
    </x:row>
    <x:row r="136" ht="21" customHeight="1">
      <x:c r="A136" s="24" t="str">
        <x:v>FM-2026-0135</x:v>
      </x:c>
      <x:c r="B136" s="24" t="str">
        <x:v>HCM_NT</x:v>
      </x:c>
      <x:c r="C136" s="21" t="str">
        <x:v>Võ Hà 135</x:v>
      </x:c>
      <x:c r="D136" s="21" t="str">
        <x:v>TP. Hồ Chí Minh nội thành</x:v>
      </x:c>
      <x:c r="E136" s="25" t="n">
        <x:v>11</x:v>
      </x:c>
      <x:c r="F136" s="26" t="n">
        <x:f>IF(B136="","",IFERROR(VLOOKUP(TRIM(B136),'Giá cước'!$A$2:$D$7,4,FALSE),"Không tìm thấy mã cước"))</x:f>
        <x:v>13000</x:v>
      </x:c>
      <x:c r="G136" s="26" t="n">
        <x:f>IF(OR(B136="",E136=""),"",IFERROR(E136*F136,""))</x:f>
        <x:v>143000</x:v>
      </x:c>
      <x:c r="H136" s="24" t="str">
        <x:f>IF(B136="","",IF(ISNUMBER(F136),"OK","Cần kiểm tra"))</x:f>
        <x:v>OK</x:v>
      </x:c>
    </x:row>
    <x:row r="137" ht="21" customHeight="1">
      <x:c r="A137" s="24" t="str">
        <x:v>FM-2026-0136</x:v>
      </x:c>
      <x:c r="B137" s="24" t="str">
        <x:v>HCM_LT</x:v>
      </x:c>
      <x:c r="C137" s="21" t="str">
        <x:v>Đỗ Khang 136</x:v>
      </x:c>
      <x:c r="D137" s="21" t="str">
        <x:v>TP. Hồ Chí Minh liên tỉnh</x:v>
      </x:c>
      <x:c r="E137" s="25" t="n">
        <x:v>11.7</x:v>
      </x:c>
      <x:c r="F137" s="26" t="n">
        <x:f>IF(B137="","",IFERROR(VLOOKUP(TRIM(B137),'Giá cước'!$A$2:$D$7,4,FALSE),"Không tìm thấy mã cước"))</x:f>
        <x:v>19500</x:v>
      </x:c>
      <x:c r="G137" s="26" t="n">
        <x:f>IF(OR(B137="",E137=""),"",IFERROR(E137*F137,""))</x:f>
        <x:v>228150</x:v>
      </x:c>
      <x:c r="H137" s="24" t="str">
        <x:f>IF(B137="","",IF(ISNUMBER(F137),"OK","Cần kiểm tra"))</x:f>
        <x:v>OK</x:v>
      </x:c>
    </x:row>
    <x:row r="138" ht="21" customHeight="1">
      <x:c r="A138" s="24" t="str">
        <x:v>FM-2026-0137</x:v>
      </x:c>
      <x:c r="B138" s="24" t="str">
        <x:v>MIEN_TAY</x:v>
      </x:c>
      <x:c r="C138" s="21" t="str">
        <x:v>Bùi Lan 137</x:v>
      </x:c>
      <x:c r="D138" s="21" t="str">
        <x:v>Miền Tây</x:v>
      </x:c>
      <x:c r="E138" s="25" t="n">
        <x:v>12.4</x:v>
      </x:c>
      <x:c r="F138" s="26" t="n">
        <x:f>IF(B138="","",IFERROR(VLOOKUP(TRIM(B138),'Giá cước'!$A$2:$D$7,4,FALSE),"Không tìm thấy mã cước"))</x:f>
        <x:v>22000</x:v>
      </x:c>
      <x:c r="G138" s="26" t="n">
        <x:f>IF(OR(B138="",E138=""),"",IFERROR(E138*F138,""))</x:f>
        <x:v>272800</x:v>
      </x:c>
      <x:c r="H138" s="24" t="str">
        <x:f>IF(B138="","",IF(ISNUMBER(F138),"OK","Cần kiểm tra"))</x:f>
        <x:v>OK</x:v>
      </x:c>
    </x:row>
    <x:row r="139" ht="21" customHeight="1">
      <x:c r="A139" s="24" t="str">
        <x:v>FM-2026-0138</x:v>
      </x:c>
      <x:c r="B139" s="24" t="str">
        <x:v>MIEN_NUI</x:v>
      </x:c>
      <x:c r="C139" s="21" t="str">
        <x:v>Hoàng Minh 138</x:v>
      </x:c>
      <x:c r="D139" s="21" t="str">
        <x:v>Miền núi</x:v>
      </x:c>
      <x:c r="E139" s="25" t="n">
        <x:v>1.1</x:v>
      </x:c>
      <x:c r="F139" s="26" t="n">
        <x:f>IF(B139="","",IFERROR(VLOOKUP(TRIM(B139),'Giá cước'!$A$2:$D$7,4,FALSE),"Không tìm thấy mã cước"))</x:f>
        <x:v>27000</x:v>
      </x:c>
      <x:c r="G139" s="26" t="n">
        <x:f>IF(OR(B139="",E139=""),"",IFERROR(E139*F139,""))</x:f>
        <x:v>29700.000000000004</x:v>
      </x:c>
      <x:c r="H139" s="24" t="str">
        <x:f>IF(B139="","",IF(ISNUMBER(F139),"OK","Cần kiểm tra"))</x:f>
        <x:v>OK</x:v>
      </x:c>
    </x:row>
    <x:row r="140" ht="21" customHeight="1">
      <x:c r="A140" s="24" t="str">
        <x:v>FM-2026-0139</x:v>
      </x:c>
      <x:c r="B140" s="24" t="str">
        <x:v>HN_NT</x:v>
      </x:c>
      <x:c r="C140" s="21" t="str">
        <x:v>Phan Ngọc 139</x:v>
      </x:c>
      <x:c r="D140" s="21" t="str">
        <x:v>Hà Nội nội thành</x:v>
      </x:c>
      <x:c r="E140" s="25" t="n">
        <x:v>1.8</x:v>
      </x:c>
      <x:c r="F140" s="26" t="n">
        <x:f>IF(B140="","",IFERROR(VLOOKUP(TRIM(B140),'Giá cước'!$A$2:$D$7,4,FALSE),"Không tìm thấy mã cước"))</x:f>
        <x:v>12000</x:v>
      </x:c>
      <x:c r="G140" s="26" t="n">
        <x:f>IF(OR(B140="",E140=""),"",IFERROR(E140*F140,""))</x:f>
        <x:v>21600</x:v>
      </x:c>
      <x:c r="H140" s="24" t="str">
        <x:f>IF(B140="","",IF(ISNUMBER(F140),"OK","Cần kiểm tra"))</x:f>
        <x:v>OK</x:v>
      </x:c>
    </x:row>
    <x:row r="141" ht="21" customHeight="1">
      <x:c r="A141" s="24" t="str">
        <x:v>FM-2026-0140</x:v>
      </x:c>
      <x:c r="B141" s="24" t="str">
        <x:v>HN_LT</x:v>
      </x:c>
      <x:c r="C141" s="21" t="str">
        <x:v>Đặng Quân 140</x:v>
      </x:c>
      <x:c r="D141" s="21" t="str">
        <x:v>Hà Nội liên tỉnh</x:v>
      </x:c>
      <x:c r="E141" s="25" t="n">
        <x:v>2.5</x:v>
      </x:c>
      <x:c r="F141" s="26" t="n">
        <x:f>IF(B141="","",IFERROR(VLOOKUP(TRIM(B141),'Giá cước'!$A$2:$D$7,4,FALSE),"Không tìm thấy mã cước"))</x:f>
        <x:v>18000</x:v>
      </x:c>
      <x:c r="G141" s="26" t="n">
        <x:f>IF(OR(B141="",E141=""),"",IFERROR(E141*F141,""))</x:f>
        <x:v>45000</x:v>
      </x:c>
      <x:c r="H141" s="24" t="str">
        <x:f>IF(B141="","",IF(ISNUMBER(F141),"OK","Cần kiểm tra"))</x:f>
        <x:v>OK</x:v>
      </x:c>
    </x:row>
    <x:row r="142" ht="21" customHeight="1">
      <x:c r="A142" s="24" t="str">
        <x:v>FM-2026-0141</x:v>
      </x:c>
      <x:c r="B142" s="24" t="str">
        <x:v>HCM_NT</x:v>
      </x:c>
      <x:c r="C142" s="21" t="str">
        <x:v>Nguyễn An 141</x:v>
      </x:c>
      <x:c r="D142" s="21" t="str">
        <x:v>TP. Hồ Chí Minh nội thành</x:v>
      </x:c>
      <x:c r="E142" s="25" t="n">
        <x:v>3.2</x:v>
      </x:c>
      <x:c r="F142" s="26" t="n">
        <x:f>IF(B142="","",IFERROR(VLOOKUP(TRIM(B142),'Giá cước'!$A$2:$D$7,4,FALSE),"Không tìm thấy mã cước"))</x:f>
        <x:v>13000</x:v>
      </x:c>
      <x:c r="G142" s="26" t="n">
        <x:f>IF(OR(B142="",E142=""),"",IFERROR(E142*F142,""))</x:f>
        <x:v>41600</x:v>
      </x:c>
      <x:c r="H142" s="24" t="str">
        <x:f>IF(B142="","",IF(ISNUMBER(F142),"OK","Cần kiểm tra"))</x:f>
        <x:v>OK</x:v>
      </x:c>
    </x:row>
    <x:row r="143" ht="21" customHeight="1">
      <x:c r="A143" s="24" t="str">
        <x:v>FM-2026-0142</x:v>
      </x:c>
      <x:c r="B143" s="24" t="str">
        <x:v>HCM_LT</x:v>
      </x:c>
      <x:c r="C143" s="21" t="str">
        <x:v>Trần Bình 142</x:v>
      </x:c>
      <x:c r="D143" s="21" t="str">
        <x:v>TP. Hồ Chí Minh liên tỉnh</x:v>
      </x:c>
      <x:c r="E143" s="25" t="n">
        <x:v>3.9</x:v>
      </x:c>
      <x:c r="F143" s="26" t="n">
        <x:f>IF(B143="","",IFERROR(VLOOKUP(TRIM(B143),'Giá cước'!$A$2:$D$7,4,FALSE),"Không tìm thấy mã cước"))</x:f>
        <x:v>19500</x:v>
      </x:c>
      <x:c r="G143" s="26" t="n">
        <x:f>IF(OR(B143="",E143=""),"",IFERROR(E143*F143,""))</x:f>
        <x:v>76050</x:v>
      </x:c>
      <x:c r="H143" s="24" t="str">
        <x:f>IF(B143="","",IF(ISNUMBER(F143),"OK","Cần kiểm tra"))</x:f>
        <x:v>OK</x:v>
      </x:c>
    </x:row>
    <x:row r="144" ht="21" customHeight="1">
      <x:c r="A144" s="24" t="str">
        <x:v>FM-2026-0143</x:v>
      </x:c>
      <x:c r="B144" s="24" t="str">
        <x:v>MIEN_TAY</x:v>
      </x:c>
      <x:c r="C144" s="21" t="str">
        <x:v>Lê Chi 143</x:v>
      </x:c>
      <x:c r="D144" s="21" t="str">
        <x:v>Miền Tây</x:v>
      </x:c>
      <x:c r="E144" s="25" t="n">
        <x:v>4.6</x:v>
      </x:c>
      <x:c r="F144" s="26" t="n">
        <x:f>IF(B144="","",IFERROR(VLOOKUP(TRIM(B144),'Giá cước'!$A$2:$D$7,4,FALSE),"Không tìm thấy mã cước"))</x:f>
        <x:v>22000</x:v>
      </x:c>
      <x:c r="G144" s="26" t="n">
        <x:f>IF(OR(B144="",E144=""),"",IFERROR(E144*F144,""))</x:f>
        <x:v>101199.99999999999</x:v>
      </x:c>
      <x:c r="H144" s="24" t="str">
        <x:f>IF(B144="","",IF(ISNUMBER(F144),"OK","Cần kiểm tra"))</x:f>
        <x:v>OK</x:v>
      </x:c>
    </x:row>
    <x:row r="145" ht="21" customHeight="1">
      <x:c r="A145" s="24" t="str">
        <x:v>FM-2026-0144</x:v>
      </x:c>
      <x:c r="B145" s="24" t="str">
        <x:v>MIEN_NUI</x:v>
      </x:c>
      <x:c r="C145" s="21" t="str">
        <x:v>Phạm Duy 144</x:v>
      </x:c>
      <x:c r="D145" s="21" t="str">
        <x:v>Miền núi</x:v>
      </x:c>
      <x:c r="E145" s="25" t="n">
        <x:v>5.3</x:v>
      </x:c>
      <x:c r="F145" s="26" t="n">
        <x:f>IF(B145="","",IFERROR(VLOOKUP(TRIM(B145),'Giá cước'!$A$2:$D$7,4,FALSE),"Không tìm thấy mã cước"))</x:f>
        <x:v>27000</x:v>
      </x:c>
      <x:c r="G145" s="26" t="n">
        <x:f>IF(OR(B145="",E145=""),"",IFERROR(E145*F145,""))</x:f>
        <x:v>143100</x:v>
      </x:c>
      <x:c r="H145" s="24" t="str">
        <x:f>IF(B145="","",IF(ISNUMBER(F145),"OK","Cần kiểm tra"))</x:f>
        <x:v>OK</x:v>
      </x:c>
    </x:row>
    <x:row r="146" ht="21" customHeight="1">
      <x:c r="A146" s="24" t="str">
        <x:v>FM-2026-0145</x:v>
      </x:c>
      <x:c r="B146" s="24" t="str">
        <x:v>HN_NT</x:v>
      </x:c>
      <x:c r="C146" s="21" t="str">
        <x:v>Võ Hà 145</x:v>
      </x:c>
      <x:c r="D146" s="21" t="str">
        <x:v>Hà Nội nội thành</x:v>
      </x:c>
      <x:c r="E146" s="25" t="n">
        <x:v>6</x:v>
      </x:c>
      <x:c r="F146" s="26" t="n">
        <x:f>IF(B146="","",IFERROR(VLOOKUP(TRIM(B146),'Giá cước'!$A$2:$D$7,4,FALSE),"Không tìm thấy mã cước"))</x:f>
        <x:v>12000</x:v>
      </x:c>
      <x:c r="G146" s="26" t="n">
        <x:f>IF(OR(B146="",E146=""),"",IFERROR(E146*F146,""))</x:f>
        <x:v>72000</x:v>
      </x:c>
      <x:c r="H146" s="24" t="str">
        <x:f>IF(B146="","",IF(ISNUMBER(F146),"OK","Cần kiểm tra"))</x:f>
        <x:v>OK</x:v>
      </x:c>
    </x:row>
    <x:row r="147" ht="21" customHeight="1">
      <x:c r="A147" s="24" t="str">
        <x:v>FM-2026-0146</x:v>
      </x:c>
      <x:c r="B147" s="24" t="str">
        <x:v>HN_LT</x:v>
      </x:c>
      <x:c r="C147" s="21" t="str">
        <x:v>Đỗ Khang 146</x:v>
      </x:c>
      <x:c r="D147" s="21" t="str">
        <x:v>Hà Nội liên tỉnh</x:v>
      </x:c>
      <x:c r="E147" s="25" t="n">
        <x:v>6.7</x:v>
      </x:c>
      <x:c r="F147" s="26" t="n">
        <x:f>IF(B147="","",IFERROR(VLOOKUP(TRIM(B147),'Giá cước'!$A$2:$D$7,4,FALSE),"Không tìm thấy mã cước"))</x:f>
        <x:v>18000</x:v>
      </x:c>
      <x:c r="G147" s="26" t="n">
        <x:f>IF(OR(B147="",E147=""),"",IFERROR(E147*F147,""))</x:f>
        <x:v>120600</x:v>
      </x:c>
      <x:c r="H147" s="24" t="str">
        <x:f>IF(B147="","",IF(ISNUMBER(F147),"OK","Cần kiểm tra"))</x:f>
        <x:v>OK</x:v>
      </x:c>
    </x:row>
    <x:row r="148" ht="21" customHeight="1">
      <x:c r="A148" s="24" t="str">
        <x:v>FM-2026-0147</x:v>
      </x:c>
      <x:c r="B148" s="24" t="str">
        <x:v>HCM_NT</x:v>
      </x:c>
      <x:c r="C148" s="21" t="str">
        <x:v>Bùi Lan 147</x:v>
      </x:c>
      <x:c r="D148" s="21" t="str">
        <x:v>TP. Hồ Chí Minh nội thành</x:v>
      </x:c>
      <x:c r="E148" s="25" t="n">
        <x:v>7.4</x:v>
      </x:c>
      <x:c r="F148" s="26" t="n">
        <x:f>IF(B148="","",IFERROR(VLOOKUP(TRIM(B148),'Giá cước'!$A$2:$D$7,4,FALSE),"Không tìm thấy mã cước"))</x:f>
        <x:v>13000</x:v>
      </x:c>
      <x:c r="G148" s="26" t="n">
        <x:f>IF(OR(B148="",E148=""),"",IFERROR(E148*F148,""))</x:f>
        <x:v>96200</x:v>
      </x:c>
      <x:c r="H148" s="24" t="str">
        <x:f>IF(B148="","",IF(ISNUMBER(F148),"OK","Cần kiểm tra"))</x:f>
        <x:v>OK</x:v>
      </x:c>
    </x:row>
    <x:row r="149" ht="21" customHeight="1">
      <x:c r="A149" s="24" t="str">
        <x:v>FM-2026-0148</x:v>
      </x:c>
      <x:c r="B149" s="24" t="str">
        <x:v>HCM_LT</x:v>
      </x:c>
      <x:c r="C149" s="21" t="str">
        <x:v>Hoàng Minh 148</x:v>
      </x:c>
      <x:c r="D149" s="21" t="str">
        <x:v>TP. Hồ Chí Minh liên tỉnh</x:v>
      </x:c>
      <x:c r="E149" s="25" t="n">
        <x:v>8.1</x:v>
      </x:c>
      <x:c r="F149" s="26" t="n">
        <x:f>IF(B149="","",IFERROR(VLOOKUP(TRIM(B149),'Giá cước'!$A$2:$D$7,4,FALSE),"Không tìm thấy mã cước"))</x:f>
        <x:v>19500</x:v>
      </x:c>
      <x:c r="G149" s="26" t="n">
        <x:f>IF(OR(B149="",E149=""),"",IFERROR(E149*F149,""))</x:f>
        <x:v>157950</x:v>
      </x:c>
      <x:c r="H149" s="24" t="str">
        <x:f>IF(B149="","",IF(ISNUMBER(F149),"OK","Cần kiểm tra"))</x:f>
        <x:v>OK</x:v>
      </x:c>
    </x:row>
    <x:row r="150" ht="21" customHeight="1">
      <x:c r="A150" s="24" t="str">
        <x:v>FM-2026-0149</x:v>
      </x:c>
      <x:c r="B150" s="24" t="str">
        <x:v>MIEN_TAY</x:v>
      </x:c>
      <x:c r="C150" s="21" t="str">
        <x:v>Phan Ngọc 149</x:v>
      </x:c>
      <x:c r="D150" s="21" t="str">
        <x:v>Miền Tây</x:v>
      </x:c>
      <x:c r="E150" s="25" t="n">
        <x:v>8.8</x:v>
      </x:c>
      <x:c r="F150" s="26" t="n">
        <x:f>IF(B150="","",IFERROR(VLOOKUP(TRIM(B150),'Giá cước'!$A$2:$D$7,4,FALSE),"Không tìm thấy mã cước"))</x:f>
        <x:v>22000</x:v>
      </x:c>
      <x:c r="G150" s="26" t="n">
        <x:f>IF(OR(B150="",E150=""),"",IFERROR(E150*F150,""))</x:f>
        <x:v>193600.00000000003</x:v>
      </x:c>
      <x:c r="H150" s="24" t="str">
        <x:f>IF(B150="","",IF(ISNUMBER(F150),"OK","Cần kiểm tra"))</x:f>
        <x:v>OK</x:v>
      </x:c>
    </x:row>
    <x:row r="151" ht="21" customHeight="1">
      <x:c r="A151" s="24" t="str">
        <x:v>FM-2026-0150</x:v>
      </x:c>
      <x:c r="B151" s="24" t="str">
        <x:v>MIEN_NUI</x:v>
      </x:c>
      <x:c r="C151" s="21" t="str">
        <x:v>Đặng Quân 150</x:v>
      </x:c>
      <x:c r="D151" s="21" t="str">
        <x:v>Miền núi</x:v>
      </x:c>
      <x:c r="E151" s="25" t="n">
        <x:v>9.5</x:v>
      </x:c>
      <x:c r="F151" s="26" t="n">
        <x:f>IF(B151="","",IFERROR(VLOOKUP(TRIM(B151),'Giá cước'!$A$2:$D$7,4,FALSE),"Không tìm thấy mã cước"))</x:f>
        <x:v>27000</x:v>
      </x:c>
      <x:c r="G151" s="26" t="n">
        <x:f>IF(OR(B151="",E151=""),"",IFERROR(E151*F151,""))</x:f>
        <x:v>256500</x:v>
      </x:c>
      <x:c r="H151" s="24" t="str">
        <x:f>IF(B151="","",IF(ISNUMBER(F151),"OK","Cần kiểm tra"))</x:f>
        <x:v>OK</x:v>
      </x:c>
    </x:row>
    <x:row r="152" ht="21" customHeight="1">
      <x:c r="A152" s="24" t="str">
        <x:v>FM-2026-0151</x:v>
      </x:c>
      <x:c r="B152" s="24" t="str">
        <x:v>HN_NT</x:v>
      </x:c>
      <x:c r="C152" s="21" t="str">
        <x:v>Nguyễn An 151</x:v>
      </x:c>
      <x:c r="D152" s="21" t="str">
        <x:v>Hà Nội nội thành</x:v>
      </x:c>
      <x:c r="E152" s="25" t="n">
        <x:v>10.2</x:v>
      </x:c>
      <x:c r="F152" s="26" t="n">
        <x:f>IF(B152="","",IFERROR(VLOOKUP(TRIM(B152),'Giá cước'!$A$2:$D$7,4,FALSE),"Không tìm thấy mã cước"))</x:f>
        <x:v>12000</x:v>
      </x:c>
      <x:c r="G152" s="26" t="n">
        <x:f>IF(OR(B152="",E152=""),"",IFERROR(E152*F152,""))</x:f>
        <x:v>122399.99999999999</x:v>
      </x:c>
      <x:c r="H152" s="24" t="str">
        <x:f>IF(B152="","",IF(ISNUMBER(F152),"OK","Cần kiểm tra"))</x:f>
        <x:v>OK</x:v>
      </x:c>
    </x:row>
    <x:row r="153" ht="21" customHeight="1">
      <x:c r="A153" s="24" t="str">
        <x:v>FM-2026-0152</x:v>
      </x:c>
      <x:c r="B153" s="24" t="str">
        <x:v>HN_LT</x:v>
      </x:c>
      <x:c r="C153" s="21" t="str">
        <x:v>Trần Bình 152</x:v>
      </x:c>
      <x:c r="D153" s="21" t="str">
        <x:v>Hà Nội liên tỉnh</x:v>
      </x:c>
      <x:c r="E153" s="25" t="n">
        <x:v>10.9</x:v>
      </x:c>
      <x:c r="F153" s="26" t="n">
        <x:f>IF(B153="","",IFERROR(VLOOKUP(TRIM(B153),'Giá cước'!$A$2:$D$7,4,FALSE),"Không tìm thấy mã cước"))</x:f>
        <x:v>18000</x:v>
      </x:c>
      <x:c r="G153" s="26" t="n">
        <x:f>IF(OR(B153="",E153=""),"",IFERROR(E153*F153,""))</x:f>
        <x:v>196200</x:v>
      </x:c>
      <x:c r="H153" s="24" t="str">
        <x:f>IF(B153="","",IF(ISNUMBER(F153),"OK","Cần kiểm tra"))</x:f>
        <x:v>OK</x:v>
      </x:c>
    </x:row>
    <x:row r="154" ht="21" customHeight="1">
      <x:c r="A154" s="24" t="str">
        <x:v>FM-2026-0153</x:v>
      </x:c>
      <x:c r="B154" s="24" t="str">
        <x:v>HCM_NT</x:v>
      </x:c>
      <x:c r="C154" s="21" t="str">
        <x:v>Lê Chi 153</x:v>
      </x:c>
      <x:c r="D154" s="21" t="str">
        <x:v>TP. Hồ Chí Minh nội thành</x:v>
      </x:c>
      <x:c r="E154" s="25" t="n">
        <x:v>11.6</x:v>
      </x:c>
      <x:c r="F154" s="26" t="n">
        <x:f>IF(B154="","",IFERROR(VLOOKUP(TRIM(B154),'Giá cước'!$A$2:$D$7,4,FALSE),"Không tìm thấy mã cước"))</x:f>
        <x:v>13000</x:v>
      </x:c>
      <x:c r="G154" s="26" t="n">
        <x:f>IF(OR(B154="",E154=""),"",IFERROR(E154*F154,""))</x:f>
        <x:v>150800</x:v>
      </x:c>
      <x:c r="H154" s="24" t="str">
        <x:f>IF(B154="","",IF(ISNUMBER(F154),"OK","Cần kiểm tra"))</x:f>
        <x:v>OK</x:v>
      </x:c>
    </x:row>
    <x:row r="155" ht="21" customHeight="1">
      <x:c r="A155" s="24" t="str">
        <x:v>FM-2026-0154</x:v>
      </x:c>
      <x:c r="B155" s="24" t="str">
        <x:v>HCM_LT</x:v>
      </x:c>
      <x:c r="C155" s="21" t="str">
        <x:v>Phạm Duy 154</x:v>
      </x:c>
      <x:c r="D155" s="21" t="str">
        <x:v>TP. Hồ Chí Minh liên tỉnh</x:v>
      </x:c>
      <x:c r="E155" s="25" t="n">
        <x:v>12.3</x:v>
      </x:c>
      <x:c r="F155" s="26" t="n">
        <x:f>IF(B155="","",IFERROR(VLOOKUP(TRIM(B155),'Giá cước'!$A$2:$D$7,4,FALSE),"Không tìm thấy mã cước"))</x:f>
        <x:v>19500</x:v>
      </x:c>
      <x:c r="G155" s="26" t="n">
        <x:f>IF(OR(B155="",E155=""),"",IFERROR(E155*F155,""))</x:f>
        <x:v>239850</x:v>
      </x:c>
      <x:c r="H155" s="24" t="str">
        <x:f>IF(B155="","",IF(ISNUMBER(F155),"OK","Cần kiểm tra"))</x:f>
        <x:v>OK</x:v>
      </x:c>
    </x:row>
    <x:row r="156" ht="21" customHeight="1">
      <x:c r="A156" s="24" t="str">
        <x:v>FM-2026-0155</x:v>
      </x:c>
      <x:c r="B156" s="24" t="str">
        <x:v>MIEN_TAY</x:v>
      </x:c>
      <x:c r="C156" s="21" t="str">
        <x:v>Võ Hà 155</x:v>
      </x:c>
      <x:c r="D156" s="21" t="str">
        <x:v>Miền Tây</x:v>
      </x:c>
      <x:c r="E156" s="25" t="n">
        <x:v>1</x:v>
      </x:c>
      <x:c r="F156" s="26" t="n">
        <x:f>IF(B156="","",IFERROR(VLOOKUP(TRIM(B156),'Giá cước'!$A$2:$D$7,4,FALSE),"Không tìm thấy mã cước"))</x:f>
        <x:v>22000</x:v>
      </x:c>
      <x:c r="G156" s="26" t="n">
        <x:f>IF(OR(B156="",E156=""),"",IFERROR(E156*F156,""))</x:f>
        <x:v>22000</x:v>
      </x:c>
      <x:c r="H156" s="24" t="str">
        <x:f>IF(B156="","",IF(ISNUMBER(F156),"OK","Cần kiểm tra"))</x:f>
        <x:v>OK</x:v>
      </x:c>
    </x:row>
    <x:row r="157" ht="21" customHeight="1">
      <x:c r="A157" s="24" t="str">
        <x:v>FM-2026-0156</x:v>
      </x:c>
      <x:c r="B157" s="24" t="str">
        <x:v>MIEN_NUI</x:v>
      </x:c>
      <x:c r="C157" s="21" t="str">
        <x:v>Đỗ Khang 156</x:v>
      </x:c>
      <x:c r="D157" s="21" t="str">
        <x:v>Miền núi</x:v>
      </x:c>
      <x:c r="E157" s="25" t="n">
        <x:v>1.7</x:v>
      </x:c>
      <x:c r="F157" s="26" t="n">
        <x:f>IF(B157="","",IFERROR(VLOOKUP(TRIM(B157),'Giá cước'!$A$2:$D$7,4,FALSE),"Không tìm thấy mã cước"))</x:f>
        <x:v>27000</x:v>
      </x:c>
      <x:c r="G157" s="26" t="n">
        <x:f>IF(OR(B157="",E157=""),"",IFERROR(E157*F157,""))</x:f>
        <x:v>45900</x:v>
      </x:c>
      <x:c r="H157" s="24" t="str">
        <x:f>IF(B157="","",IF(ISNUMBER(F157),"OK","Cần kiểm tra"))</x:f>
        <x:v>OK</x:v>
      </x:c>
    </x:row>
    <x:row r="158" ht="21" customHeight="1">
      <x:c r="A158" s="24" t="str">
        <x:v>FM-2026-0157</x:v>
      </x:c>
      <x:c r="B158" s="24" t="str">
        <x:v>HN_NT</x:v>
      </x:c>
      <x:c r="C158" s="21" t="str">
        <x:v>Bùi Lan 157</x:v>
      </x:c>
      <x:c r="D158" s="21" t="str">
        <x:v>Hà Nội nội thành</x:v>
      </x:c>
      <x:c r="E158" s="25" t="n">
        <x:v>2.4</x:v>
      </x:c>
      <x:c r="F158" s="26" t="n">
        <x:f>IF(B158="","",IFERROR(VLOOKUP(TRIM(B158),'Giá cước'!$A$2:$D$7,4,FALSE),"Không tìm thấy mã cước"))</x:f>
        <x:v>12000</x:v>
      </x:c>
      <x:c r="G158" s="26" t="n">
        <x:f>IF(OR(B158="",E158=""),"",IFERROR(E158*F158,""))</x:f>
        <x:v>28800</x:v>
      </x:c>
      <x:c r="H158" s="24" t="str">
        <x:f>IF(B158="","",IF(ISNUMBER(F158),"OK","Cần kiểm tra"))</x:f>
        <x:v>OK</x:v>
      </x:c>
    </x:row>
    <x:row r="159" ht="21" customHeight="1">
      <x:c r="A159" s="24" t="str">
        <x:v>FM-2026-0158</x:v>
      </x:c>
      <x:c r="B159" s="24" t="str">
        <x:v>HN_LT</x:v>
      </x:c>
      <x:c r="C159" s="21" t="str">
        <x:v>Hoàng Minh 158</x:v>
      </x:c>
      <x:c r="D159" s="21" t="str">
        <x:v>Hà Nội liên tỉnh</x:v>
      </x:c>
      <x:c r="E159" s="25" t="n">
        <x:v>3.1</x:v>
      </x:c>
      <x:c r="F159" s="26" t="n">
        <x:f>IF(B159="","",IFERROR(VLOOKUP(TRIM(B159),'Giá cước'!$A$2:$D$7,4,FALSE),"Không tìm thấy mã cước"))</x:f>
        <x:v>18000</x:v>
      </x:c>
      <x:c r="G159" s="26" t="n">
        <x:f>IF(OR(B159="",E159=""),"",IFERROR(E159*F159,""))</x:f>
        <x:v>55800</x:v>
      </x:c>
      <x:c r="H159" s="24" t="str">
        <x:f>IF(B159="","",IF(ISNUMBER(F159),"OK","Cần kiểm tra"))</x:f>
        <x:v>OK</x:v>
      </x:c>
    </x:row>
    <x:row r="160" ht="21" customHeight="1">
      <x:c r="A160" s="24" t="str">
        <x:v>FM-2026-0159</x:v>
      </x:c>
      <x:c r="B160" s="24" t="str">
        <x:v>HCM_NT</x:v>
      </x:c>
      <x:c r="C160" s="21" t="str">
        <x:v>Phan Ngọc 159</x:v>
      </x:c>
      <x:c r="D160" s="21" t="str">
        <x:v>TP. Hồ Chí Minh nội thành</x:v>
      </x:c>
      <x:c r="E160" s="25" t="n">
        <x:v>3.8</x:v>
      </x:c>
      <x:c r="F160" s="26" t="n">
        <x:f>IF(B160="","",IFERROR(VLOOKUP(TRIM(B160),'Giá cước'!$A$2:$D$7,4,FALSE),"Không tìm thấy mã cước"))</x:f>
        <x:v>13000</x:v>
      </x:c>
      <x:c r="G160" s="26" t="n">
        <x:f>IF(OR(B160="",E160=""),"",IFERROR(E160*F160,""))</x:f>
        <x:v>49400</x:v>
      </x:c>
      <x:c r="H160" s="24" t="str">
        <x:f>IF(B160="","",IF(ISNUMBER(F160),"OK","Cần kiểm tra"))</x:f>
        <x:v>OK</x:v>
      </x:c>
    </x:row>
    <x:row r="161" ht="21" customHeight="1">
      <x:c r="A161" s="24" t="str">
        <x:v>FM-2026-0160</x:v>
      </x:c>
      <x:c r="B161" s="24" t="str">
        <x:v>HCM_LT</x:v>
      </x:c>
      <x:c r="C161" s="21" t="str">
        <x:v>Đặng Quân 160</x:v>
      </x:c>
      <x:c r="D161" s="21" t="str">
        <x:v>TP. Hồ Chí Minh liên tỉnh</x:v>
      </x:c>
      <x:c r="E161" s="25" t="n">
        <x:v>4.5</x:v>
      </x:c>
      <x:c r="F161" s="26" t="n">
        <x:f>IF(B161="","",IFERROR(VLOOKUP(TRIM(B161),'Giá cước'!$A$2:$D$7,4,FALSE),"Không tìm thấy mã cước"))</x:f>
        <x:v>19500</x:v>
      </x:c>
      <x:c r="G161" s="26" t="n">
        <x:f>IF(OR(B161="",E161=""),"",IFERROR(E161*F161,""))</x:f>
        <x:v>87750</x:v>
      </x:c>
      <x:c r="H161" s="24" t="str">
        <x:f>IF(B161="","",IF(ISNUMBER(F161),"OK","Cần kiểm tra"))</x:f>
        <x:v>OK</x:v>
      </x:c>
    </x:row>
    <x:row r="162" ht="21" customHeight="1">
      <x:c r="A162" s="24" t="str">
        <x:v>FM-2026-0161</x:v>
      </x:c>
      <x:c r="B162" s="24" t="str">
        <x:v>MIEN_TAY</x:v>
      </x:c>
      <x:c r="C162" s="21" t="str">
        <x:v>Nguyễn An 161</x:v>
      </x:c>
      <x:c r="D162" s="21" t="str">
        <x:v>Miền Tây</x:v>
      </x:c>
      <x:c r="E162" s="25" t="n">
        <x:v>5.2</x:v>
      </x:c>
      <x:c r="F162" s="26" t="n">
        <x:f>IF(B162="","",IFERROR(VLOOKUP(TRIM(B162),'Giá cước'!$A$2:$D$7,4,FALSE),"Không tìm thấy mã cước"))</x:f>
        <x:v>22000</x:v>
      </x:c>
      <x:c r="G162" s="26" t="n">
        <x:f>IF(OR(B162="",E162=""),"",IFERROR(E162*F162,""))</x:f>
        <x:v>114400</x:v>
      </x:c>
      <x:c r="H162" s="24" t="str">
        <x:f>IF(B162="","",IF(ISNUMBER(F162),"OK","Cần kiểm tra"))</x:f>
        <x:v>OK</x:v>
      </x:c>
    </x:row>
    <x:row r="163" ht="21" customHeight="1">
      <x:c r="A163" s="24" t="str">
        <x:v>FM-2026-0162</x:v>
      </x:c>
      <x:c r="B163" s="24" t="str">
        <x:v>MIEN_NUI</x:v>
      </x:c>
      <x:c r="C163" s="21" t="str">
        <x:v>Trần Bình 162</x:v>
      </x:c>
      <x:c r="D163" s="21" t="str">
        <x:v>Miền núi</x:v>
      </x:c>
      <x:c r="E163" s="25" t="n">
        <x:v>5.9</x:v>
      </x:c>
      <x:c r="F163" s="26" t="n">
        <x:f>IF(B163="","",IFERROR(VLOOKUP(TRIM(B163),'Giá cước'!$A$2:$D$7,4,FALSE),"Không tìm thấy mã cước"))</x:f>
        <x:v>27000</x:v>
      </x:c>
      <x:c r="G163" s="26" t="n">
        <x:f>IF(OR(B163="",E163=""),"",IFERROR(E163*F163,""))</x:f>
        <x:v>159300</x:v>
      </x:c>
      <x:c r="H163" s="24" t="str">
        <x:f>IF(B163="","",IF(ISNUMBER(F163),"OK","Cần kiểm tra"))</x:f>
        <x:v>OK</x:v>
      </x:c>
    </x:row>
    <x:row r="164" ht="21" customHeight="1">
      <x:c r="A164" s="24" t="str">
        <x:v>FM-2026-0163</x:v>
      </x:c>
      <x:c r="B164" s="24" t="str">
        <x:v>HN_NT</x:v>
      </x:c>
      <x:c r="C164" s="21" t="str">
        <x:v>Lê Chi 163</x:v>
      </x:c>
      <x:c r="D164" s="21" t="str">
        <x:v>Hà Nội nội thành</x:v>
      </x:c>
      <x:c r="E164" s="25" t="n">
        <x:v>6.6</x:v>
      </x:c>
      <x:c r="F164" s="26" t="n">
        <x:f>IF(B164="","",IFERROR(VLOOKUP(TRIM(B164),'Giá cước'!$A$2:$D$7,4,FALSE),"Không tìm thấy mã cước"))</x:f>
        <x:v>12000</x:v>
      </x:c>
      <x:c r="G164" s="26" t="n">
        <x:f>IF(OR(B164="",E164=""),"",IFERROR(E164*F164,""))</x:f>
        <x:v>79200</x:v>
      </x:c>
      <x:c r="H164" s="24" t="str">
        <x:f>IF(B164="","",IF(ISNUMBER(F164),"OK","Cần kiểm tra"))</x:f>
        <x:v>OK</x:v>
      </x:c>
    </x:row>
    <x:row r="165" ht="21" customHeight="1">
      <x:c r="A165" s="24" t="str">
        <x:v>FM-2026-0164</x:v>
      </x:c>
      <x:c r="B165" s="24" t="str">
        <x:v>HN_LT</x:v>
      </x:c>
      <x:c r="C165" s="21" t="str">
        <x:v>Phạm Duy 164</x:v>
      </x:c>
      <x:c r="D165" s="21" t="str">
        <x:v>Hà Nội liên tỉnh</x:v>
      </x:c>
      <x:c r="E165" s="25" t="n">
        <x:v>7.3</x:v>
      </x:c>
      <x:c r="F165" s="26" t="n">
        <x:f>IF(B165="","",IFERROR(VLOOKUP(TRIM(B165),'Giá cước'!$A$2:$D$7,4,FALSE),"Không tìm thấy mã cước"))</x:f>
        <x:v>18000</x:v>
      </x:c>
      <x:c r="G165" s="26" t="n">
        <x:f>IF(OR(B165="",E165=""),"",IFERROR(E165*F165,""))</x:f>
        <x:v>131400</x:v>
      </x:c>
      <x:c r="H165" s="24" t="str">
        <x:f>IF(B165="","",IF(ISNUMBER(F165),"OK","Cần kiểm tra"))</x:f>
        <x:v>OK</x:v>
      </x:c>
    </x:row>
    <x:row r="166" ht="21" customHeight="1">
      <x:c r="A166" s="24" t="str">
        <x:v>FM-2026-0165</x:v>
      </x:c>
      <x:c r="B166" s="24" t="str">
        <x:v>HCM_NT</x:v>
      </x:c>
      <x:c r="C166" s="21" t="str">
        <x:v>Võ Hà 165</x:v>
      </x:c>
      <x:c r="D166" s="21" t="str">
        <x:v>TP. Hồ Chí Minh nội thành</x:v>
      </x:c>
      <x:c r="E166" s="25" t="n">
        <x:v>8</x:v>
      </x:c>
      <x:c r="F166" s="26" t="n">
        <x:f>IF(B166="","",IFERROR(VLOOKUP(TRIM(B166),'Giá cước'!$A$2:$D$7,4,FALSE),"Không tìm thấy mã cước"))</x:f>
        <x:v>13000</x:v>
      </x:c>
      <x:c r="G166" s="26" t="n">
        <x:f>IF(OR(B166="",E166=""),"",IFERROR(E166*F166,""))</x:f>
        <x:v>104000</x:v>
      </x:c>
      <x:c r="H166" s="24" t="str">
        <x:f>IF(B166="","",IF(ISNUMBER(F166),"OK","Cần kiểm tra"))</x:f>
        <x:v>OK</x:v>
      </x:c>
    </x:row>
    <x:row r="167" ht="21" customHeight="1">
      <x:c r="A167" s="24" t="str">
        <x:v>FM-2026-0166</x:v>
      </x:c>
      <x:c r="B167" s="24" t="str">
        <x:v>HCM_LT</x:v>
      </x:c>
      <x:c r="C167" s="21" t="str">
        <x:v>Đỗ Khang 166</x:v>
      </x:c>
      <x:c r="D167" s="21" t="str">
        <x:v>TP. Hồ Chí Minh liên tỉnh</x:v>
      </x:c>
      <x:c r="E167" s="25" t="n">
        <x:v>8.7</x:v>
      </x:c>
      <x:c r="F167" s="26" t="n">
        <x:f>IF(B167="","",IFERROR(VLOOKUP(TRIM(B167),'Giá cước'!$A$2:$D$7,4,FALSE),"Không tìm thấy mã cước"))</x:f>
        <x:v>19500</x:v>
      </x:c>
      <x:c r="G167" s="26" t="n">
        <x:f>IF(OR(B167="",E167=""),"",IFERROR(E167*F167,""))</x:f>
        <x:v>169650</x:v>
      </x:c>
      <x:c r="H167" s="24" t="str">
        <x:f>IF(B167="","",IF(ISNUMBER(F167),"OK","Cần kiểm tra"))</x:f>
        <x:v>OK</x:v>
      </x:c>
    </x:row>
    <x:row r="168" ht="21" customHeight="1">
      <x:c r="A168" s="24" t="str">
        <x:v>FM-2026-0167</x:v>
      </x:c>
      <x:c r="B168" s="24" t="str">
        <x:v>MIEN_TAY</x:v>
      </x:c>
      <x:c r="C168" s="21" t="str">
        <x:v>Bùi Lan 167</x:v>
      </x:c>
      <x:c r="D168" s="21" t="str">
        <x:v>Miền Tây</x:v>
      </x:c>
      <x:c r="E168" s="25" t="n">
        <x:v>9.4</x:v>
      </x:c>
      <x:c r="F168" s="26" t="n">
        <x:f>IF(B168="","",IFERROR(VLOOKUP(TRIM(B168),'Giá cước'!$A$2:$D$7,4,FALSE),"Không tìm thấy mã cước"))</x:f>
        <x:v>22000</x:v>
      </x:c>
      <x:c r="G168" s="26" t="n">
        <x:f>IF(OR(B168="",E168=""),"",IFERROR(E168*F168,""))</x:f>
        <x:v>206800</x:v>
      </x:c>
      <x:c r="H168" s="24" t="str">
        <x:f>IF(B168="","",IF(ISNUMBER(F168),"OK","Cần kiểm tra"))</x:f>
        <x:v>OK</x:v>
      </x:c>
    </x:row>
    <x:row r="169" ht="21" customHeight="1">
      <x:c r="A169" s="24" t="str">
        <x:v>FM-2026-0168</x:v>
      </x:c>
      <x:c r="B169" s="24" t="str">
        <x:v>MIEN_NUI</x:v>
      </x:c>
      <x:c r="C169" s="21" t="str">
        <x:v>Hoàng Minh 168</x:v>
      </x:c>
      <x:c r="D169" s="21" t="str">
        <x:v>Miền núi</x:v>
      </x:c>
      <x:c r="E169" s="25" t="n">
        <x:v>10.1</x:v>
      </x:c>
      <x:c r="F169" s="26" t="n">
        <x:f>IF(B169="","",IFERROR(VLOOKUP(TRIM(B169),'Giá cước'!$A$2:$D$7,4,FALSE),"Không tìm thấy mã cước"))</x:f>
        <x:v>27000</x:v>
      </x:c>
      <x:c r="G169" s="26" t="n">
        <x:f>IF(OR(B169="",E169=""),"",IFERROR(E169*F169,""))</x:f>
        <x:v>272700</x:v>
      </x:c>
      <x:c r="H169" s="24" t="str">
        <x:f>IF(B169="","",IF(ISNUMBER(F169),"OK","Cần kiểm tra"))</x:f>
        <x:v>OK</x:v>
      </x:c>
    </x:row>
    <x:row r="170" ht="21" customHeight="1">
      <x:c r="A170" s="24" t="str">
        <x:v>FM-2026-0169</x:v>
      </x:c>
      <x:c r="B170" s="24" t="str">
        <x:v>HN_NT</x:v>
      </x:c>
      <x:c r="C170" s="21" t="str">
        <x:v>Phan Ngọc 169</x:v>
      </x:c>
      <x:c r="D170" s="21" t="str">
        <x:v>Hà Nội nội thành</x:v>
      </x:c>
      <x:c r="E170" s="25" t="n">
        <x:v>10.8</x:v>
      </x:c>
      <x:c r="F170" s="26" t="n">
        <x:f>IF(B170="","",IFERROR(VLOOKUP(TRIM(B170),'Giá cước'!$A$2:$D$7,4,FALSE),"Không tìm thấy mã cước"))</x:f>
        <x:v>12000</x:v>
      </x:c>
      <x:c r="G170" s="26" t="n">
        <x:f>IF(OR(B170="",E170=""),"",IFERROR(E170*F170,""))</x:f>
        <x:v>129600.00000000001</x:v>
      </x:c>
      <x:c r="H170" s="24" t="str">
        <x:f>IF(B170="","",IF(ISNUMBER(F170),"OK","Cần kiểm tra"))</x:f>
        <x:v>OK</x:v>
      </x:c>
    </x:row>
    <x:row r="171" ht="21" customHeight="1">
      <x:c r="A171" s="24" t="str">
        <x:v>FM-2026-0170</x:v>
      </x:c>
      <x:c r="B171" s="24" t="str">
        <x:v>HN_LT</x:v>
      </x:c>
      <x:c r="C171" s="21" t="str">
        <x:v>Đặng Quân 170</x:v>
      </x:c>
      <x:c r="D171" s="21" t="str">
        <x:v>Hà Nội liên tỉnh</x:v>
      </x:c>
      <x:c r="E171" s="25" t="n">
        <x:v>11.5</x:v>
      </x:c>
      <x:c r="F171" s="26" t="n">
        <x:f>IF(B171="","",IFERROR(VLOOKUP(TRIM(B171),'Giá cước'!$A$2:$D$7,4,FALSE),"Không tìm thấy mã cước"))</x:f>
        <x:v>18000</x:v>
      </x:c>
      <x:c r="G171" s="26" t="n">
        <x:f>IF(OR(B171="",E171=""),"",IFERROR(E171*F171,""))</x:f>
        <x:v>207000</x:v>
      </x:c>
      <x:c r="H171" s="24" t="str">
        <x:f>IF(B171="","",IF(ISNUMBER(F171),"OK","Cần kiểm tra"))</x:f>
        <x:v>OK</x:v>
      </x:c>
    </x:row>
    <x:row r="172" ht="21" customHeight="1">
      <x:c r="A172" s="24" t="str">
        <x:v>FM-2026-0171</x:v>
      </x:c>
      <x:c r="B172" s="24" t="str">
        <x:v>HCM_NT</x:v>
      </x:c>
      <x:c r="C172" s="21" t="str">
        <x:v>Nguyễn An 171</x:v>
      </x:c>
      <x:c r="D172" s="21" t="str">
        <x:v>TP. Hồ Chí Minh nội thành</x:v>
      </x:c>
      <x:c r="E172" s="25" t="n">
        <x:v>12.2</x:v>
      </x:c>
      <x:c r="F172" s="26" t="n">
        <x:f>IF(B172="","",IFERROR(VLOOKUP(TRIM(B172),'Giá cước'!$A$2:$D$7,4,FALSE),"Không tìm thấy mã cước"))</x:f>
        <x:v>13000</x:v>
      </x:c>
      <x:c r="G172" s="26" t="n">
        <x:f>IF(OR(B172="",E172=""),"",IFERROR(E172*F172,""))</x:f>
        <x:v>158600</x:v>
      </x:c>
      <x:c r="H172" s="24" t="str">
        <x:f>IF(B172="","",IF(ISNUMBER(F172),"OK","Cần kiểm tra"))</x:f>
        <x:v>OK</x:v>
      </x:c>
    </x:row>
    <x:row r="173" ht="21" customHeight="1">
      <x:c r="A173" s="24" t="str">
        <x:v>FM-2026-0172</x:v>
      </x:c>
      <x:c r="B173" s="24" t="str">
        <x:v>HCM_LT</x:v>
      </x:c>
      <x:c r="C173" s="21" t="str">
        <x:v>Trần Bình 172</x:v>
      </x:c>
      <x:c r="D173" s="21" t="str">
        <x:v>TP. Hồ Chí Minh liên tỉnh</x:v>
      </x:c>
      <x:c r="E173" s="25" t="n">
        <x:v>0.9</x:v>
      </x:c>
      <x:c r="F173" s="26" t="n">
        <x:f>IF(B173="","",IFERROR(VLOOKUP(TRIM(B173),'Giá cước'!$A$2:$D$7,4,FALSE),"Không tìm thấy mã cước"))</x:f>
        <x:v>19500</x:v>
      </x:c>
      <x:c r="G173" s="26" t="n">
        <x:f>IF(OR(B173="",E173=""),"",IFERROR(E173*F173,""))</x:f>
        <x:v>17550</x:v>
      </x:c>
      <x:c r="H173" s="24" t="str">
        <x:f>IF(B173="","",IF(ISNUMBER(F173),"OK","Cần kiểm tra"))</x:f>
        <x:v>OK</x:v>
      </x:c>
    </x:row>
    <x:row r="174" ht="21" customHeight="1">
      <x:c r="A174" s="24" t="str">
        <x:v>FM-2026-0173</x:v>
      </x:c>
      <x:c r="B174" s="24" t="str">
        <x:v>MIEN_TAY</x:v>
      </x:c>
      <x:c r="C174" s="21" t="str">
        <x:v>Lê Chi 173</x:v>
      </x:c>
      <x:c r="D174" s="21" t="str">
        <x:v>Miền Tây</x:v>
      </x:c>
      <x:c r="E174" s="25" t="n">
        <x:v>1.6</x:v>
      </x:c>
      <x:c r="F174" s="26" t="n">
        <x:f>IF(B174="","",IFERROR(VLOOKUP(TRIM(B174),'Giá cước'!$A$2:$D$7,4,FALSE),"Không tìm thấy mã cước"))</x:f>
        <x:v>22000</x:v>
      </x:c>
      <x:c r="G174" s="26" t="n">
        <x:f>IF(OR(B174="",E174=""),"",IFERROR(E174*F174,""))</x:f>
        <x:v>35200</x:v>
      </x:c>
      <x:c r="H174" s="24" t="str">
        <x:f>IF(B174="","",IF(ISNUMBER(F174),"OK","Cần kiểm tra"))</x:f>
        <x:v>OK</x:v>
      </x:c>
    </x:row>
    <x:row r="175" ht="21" customHeight="1">
      <x:c r="A175" s="24" t="str">
        <x:v>FM-2026-0174</x:v>
      </x:c>
      <x:c r="B175" s="24" t="str">
        <x:v>MIEN_NUI</x:v>
      </x:c>
      <x:c r="C175" s="21" t="str">
        <x:v>Phạm Duy 174</x:v>
      </x:c>
      <x:c r="D175" s="21" t="str">
        <x:v>Miền núi</x:v>
      </x:c>
      <x:c r="E175" s="25" t="n">
        <x:v>2.3</x:v>
      </x:c>
      <x:c r="F175" s="26" t="n">
        <x:f>IF(B175="","",IFERROR(VLOOKUP(TRIM(B175),'Giá cước'!$A$2:$D$7,4,FALSE),"Không tìm thấy mã cước"))</x:f>
        <x:v>27000</x:v>
      </x:c>
      <x:c r="G175" s="26" t="n">
        <x:f>IF(OR(B175="",E175=""),"",IFERROR(E175*F175,""))</x:f>
        <x:v>62099.99999999999</x:v>
      </x:c>
      <x:c r="H175" s="24" t="str">
        <x:f>IF(B175="","",IF(ISNUMBER(F175),"OK","Cần kiểm tra"))</x:f>
        <x:v>OK</x:v>
      </x:c>
    </x:row>
    <x:row r="176" ht="21" customHeight="1">
      <x:c r="A176" s="24" t="str">
        <x:v>FM-2026-0175</x:v>
      </x:c>
      <x:c r="B176" s="24" t="str">
        <x:v>HN_NT</x:v>
      </x:c>
      <x:c r="C176" s="21" t="str">
        <x:v>Võ Hà 175</x:v>
      </x:c>
      <x:c r="D176" s="21" t="str">
        <x:v>Hà Nội nội thành</x:v>
      </x:c>
      <x:c r="E176" s="25" t="n">
        <x:v>3</x:v>
      </x:c>
      <x:c r="F176" s="26" t="n">
        <x:f>IF(B176="","",IFERROR(VLOOKUP(TRIM(B176),'Giá cước'!$A$2:$D$7,4,FALSE),"Không tìm thấy mã cước"))</x:f>
        <x:v>12000</x:v>
      </x:c>
      <x:c r="G176" s="26" t="n">
        <x:f>IF(OR(B176="",E176=""),"",IFERROR(E176*F176,""))</x:f>
        <x:v>36000</x:v>
      </x:c>
      <x:c r="H176" s="24" t="str">
        <x:f>IF(B176="","",IF(ISNUMBER(F176),"OK","Cần kiểm tra"))</x:f>
        <x:v>OK</x:v>
      </x:c>
    </x:row>
    <x:row r="177" ht="21" customHeight="1">
      <x:c r="A177" s="24" t="str">
        <x:v>FM-2026-0176</x:v>
      </x:c>
      <x:c r="B177" s="24" t="str">
        <x:v>HN_LT</x:v>
      </x:c>
      <x:c r="C177" s="21" t="str">
        <x:v>Đỗ Khang 176</x:v>
      </x:c>
      <x:c r="D177" s="21" t="str">
        <x:v>Hà Nội liên tỉnh</x:v>
      </x:c>
      <x:c r="E177" s="25" t="n">
        <x:v>3.7</x:v>
      </x:c>
      <x:c r="F177" s="26" t="n">
        <x:f>IF(B177="","",IFERROR(VLOOKUP(TRIM(B177),'Giá cước'!$A$2:$D$7,4,FALSE),"Không tìm thấy mã cước"))</x:f>
        <x:v>18000</x:v>
      </x:c>
      <x:c r="G177" s="26" t="n">
        <x:f>IF(OR(B177="",E177=""),"",IFERROR(E177*F177,""))</x:f>
        <x:v>66600</x:v>
      </x:c>
      <x:c r="H177" s="24" t="str">
        <x:f>IF(B177="","",IF(ISNUMBER(F177),"OK","Cần kiểm tra"))</x:f>
        <x:v>OK</x:v>
      </x:c>
    </x:row>
    <x:row r="178" ht="21" customHeight="1">
      <x:c r="A178" s="24" t="str">
        <x:v>FM-2026-0177</x:v>
      </x:c>
      <x:c r="B178" s="24" t="str">
        <x:v>HCM_NT</x:v>
      </x:c>
      <x:c r="C178" s="21" t="str">
        <x:v>Bùi Lan 177</x:v>
      </x:c>
      <x:c r="D178" s="21" t="str">
        <x:v>TP. Hồ Chí Minh nội thành</x:v>
      </x:c>
      <x:c r="E178" s="25" t="n">
        <x:v>4.4</x:v>
      </x:c>
      <x:c r="F178" s="26" t="n">
        <x:f>IF(B178="","",IFERROR(VLOOKUP(TRIM(B178),'Giá cước'!$A$2:$D$7,4,FALSE),"Không tìm thấy mã cước"))</x:f>
        <x:v>13000</x:v>
      </x:c>
      <x:c r="G178" s="26" t="n">
        <x:f>IF(OR(B178="",E178=""),"",IFERROR(E178*F178,""))</x:f>
        <x:v>57200.00000000001</x:v>
      </x:c>
      <x:c r="H178" s="24" t="str">
        <x:f>IF(B178="","",IF(ISNUMBER(F178),"OK","Cần kiểm tra"))</x:f>
        <x:v>OK</x:v>
      </x:c>
    </x:row>
    <x:row r="179" ht="21" customHeight="1">
      <x:c r="A179" s="24" t="str">
        <x:v>FM-2026-0178</x:v>
      </x:c>
      <x:c r="B179" s="24" t="str">
        <x:v>HCM_LT</x:v>
      </x:c>
      <x:c r="C179" s="21" t="str">
        <x:v>Hoàng Minh 178</x:v>
      </x:c>
      <x:c r="D179" s="21" t="str">
        <x:v>TP. Hồ Chí Minh liên tỉnh</x:v>
      </x:c>
      <x:c r="E179" s="25" t="n">
        <x:v>5.1</x:v>
      </x:c>
      <x:c r="F179" s="26" t="n">
        <x:f>IF(B179="","",IFERROR(VLOOKUP(TRIM(B179),'Giá cước'!$A$2:$D$7,4,FALSE),"Không tìm thấy mã cước"))</x:f>
        <x:v>19500</x:v>
      </x:c>
      <x:c r="G179" s="26" t="n">
        <x:f>IF(OR(B179="",E179=""),"",IFERROR(E179*F179,""))</x:f>
        <x:v>99450</x:v>
      </x:c>
      <x:c r="H179" s="24" t="str">
        <x:f>IF(B179="","",IF(ISNUMBER(F179),"OK","Cần kiểm tra"))</x:f>
        <x:v>OK</x:v>
      </x:c>
    </x:row>
    <x:row r="180" ht="21" customHeight="1">
      <x:c r="A180" s="24" t="str">
        <x:v>FM-2026-0179</x:v>
      </x:c>
      <x:c r="B180" s="24" t="str">
        <x:v>MIEN_TAY</x:v>
      </x:c>
      <x:c r="C180" s="21" t="str">
        <x:v>Phan Ngọc 179</x:v>
      </x:c>
      <x:c r="D180" s="21" t="str">
        <x:v>Miền Tây</x:v>
      </x:c>
      <x:c r="E180" s="25" t="n">
        <x:v>5.8</x:v>
      </x:c>
      <x:c r="F180" s="26" t="n">
        <x:f>IF(B180="","",IFERROR(VLOOKUP(TRIM(B180),'Giá cước'!$A$2:$D$7,4,FALSE),"Không tìm thấy mã cước"))</x:f>
        <x:v>22000</x:v>
      </x:c>
      <x:c r="G180" s="26" t="n">
        <x:f>IF(OR(B180="",E180=""),"",IFERROR(E180*F180,""))</x:f>
        <x:v>127600</x:v>
      </x:c>
      <x:c r="H180" s="24" t="str">
        <x:f>IF(B180="","",IF(ISNUMBER(F180),"OK","Cần kiểm tra"))</x:f>
        <x:v>OK</x:v>
      </x:c>
    </x:row>
    <x:row r="181" ht="21" customHeight="1">
      <x:c r="A181" s="24" t="str">
        <x:v>FM-2026-0180</x:v>
      </x:c>
      <x:c r="B181" s="24" t="str">
        <x:v>MIEN_NUI</x:v>
      </x:c>
      <x:c r="C181" s="21" t="str">
        <x:v>Đặng Quân 180</x:v>
      </x:c>
      <x:c r="D181" s="21" t="str">
        <x:v>Miền núi</x:v>
      </x:c>
      <x:c r="E181" s="25" t="n">
        <x:v>6.5</x:v>
      </x:c>
      <x:c r="F181" s="26" t="n">
        <x:f>IF(B181="","",IFERROR(VLOOKUP(TRIM(B181),'Giá cước'!$A$2:$D$7,4,FALSE),"Không tìm thấy mã cước"))</x:f>
        <x:v>27000</x:v>
      </x:c>
      <x:c r="G181" s="26" t="n">
        <x:f>IF(OR(B181="",E181=""),"",IFERROR(E181*F181,""))</x:f>
        <x:v>175500</x:v>
      </x:c>
      <x:c r="H181" s="24" t="str">
        <x:f>IF(B181="","",IF(ISNUMBER(F181),"OK","Cần kiểm tra"))</x:f>
        <x:v>OK</x:v>
      </x:c>
    </x:row>
    <x:row r="182" ht="21" customHeight="1">
      <x:c r="A182" s="24" t="str">
        <x:v>FM-2026-0181</x:v>
      </x:c>
      <x:c r="B182" s="24" t="str">
        <x:v>HN_NT</x:v>
      </x:c>
      <x:c r="C182" s="21" t="str">
        <x:v>Nguyễn An 181</x:v>
      </x:c>
      <x:c r="D182" s="21" t="str">
        <x:v>Hà Nội nội thành</x:v>
      </x:c>
      <x:c r="E182" s="25" t="n">
        <x:v>7.2</x:v>
      </x:c>
      <x:c r="F182" s="26" t="n">
        <x:f>IF(B182="","",IFERROR(VLOOKUP(TRIM(B182),'Giá cước'!$A$2:$D$7,4,FALSE),"Không tìm thấy mã cước"))</x:f>
        <x:v>12000</x:v>
      </x:c>
      <x:c r="G182" s="26" t="n">
        <x:f>IF(OR(B182="",E182=""),"",IFERROR(E182*F182,""))</x:f>
        <x:v>86400</x:v>
      </x:c>
      <x:c r="H182" s="24" t="str">
        <x:f>IF(B182="","",IF(ISNUMBER(F182),"OK","Cần kiểm tra"))</x:f>
        <x:v>OK</x:v>
      </x:c>
    </x:row>
    <x:row r="183" ht="21" customHeight="1">
      <x:c r="A183" s="24" t="str">
        <x:v>FM-2026-0182</x:v>
      </x:c>
      <x:c r="B183" s="24" t="str">
        <x:v>HN_LT</x:v>
      </x:c>
      <x:c r="C183" s="21" t="str">
        <x:v>Trần Bình 182</x:v>
      </x:c>
      <x:c r="D183" s="21" t="str">
        <x:v>Hà Nội liên tỉnh</x:v>
      </x:c>
      <x:c r="E183" s="25" t="n">
        <x:v>7.9</x:v>
      </x:c>
      <x:c r="F183" s="26" t="n">
        <x:f>IF(B183="","",IFERROR(VLOOKUP(TRIM(B183),'Giá cước'!$A$2:$D$7,4,FALSE),"Không tìm thấy mã cước"))</x:f>
        <x:v>18000</x:v>
      </x:c>
      <x:c r="G183" s="26" t="n">
        <x:f>IF(OR(B183="",E183=""),"",IFERROR(E183*F183,""))</x:f>
        <x:v>142200</x:v>
      </x:c>
      <x:c r="H183" s="24" t="str">
        <x:f>IF(B183="","",IF(ISNUMBER(F183),"OK","Cần kiểm tra"))</x:f>
        <x:v>OK</x:v>
      </x:c>
    </x:row>
    <x:row r="184" ht="21" customHeight="1">
      <x:c r="A184" s="24" t="str">
        <x:v>FM-2026-0183</x:v>
      </x:c>
      <x:c r="B184" s="24" t="str">
        <x:v>HCM_NT</x:v>
      </x:c>
      <x:c r="C184" s="21" t="str">
        <x:v>Lê Chi 183</x:v>
      </x:c>
      <x:c r="D184" s="21" t="str">
        <x:v>TP. Hồ Chí Minh nội thành</x:v>
      </x:c>
      <x:c r="E184" s="25" t="n">
        <x:v>8.6</x:v>
      </x:c>
      <x:c r="F184" s="26" t="n">
        <x:f>IF(B184="","",IFERROR(VLOOKUP(TRIM(B184),'Giá cước'!$A$2:$D$7,4,FALSE),"Không tìm thấy mã cước"))</x:f>
        <x:v>13000</x:v>
      </x:c>
      <x:c r="G184" s="26" t="n">
        <x:f>IF(OR(B184="",E184=""),"",IFERROR(E184*F184,""))</x:f>
        <x:v>111800</x:v>
      </x:c>
      <x:c r="H184" s="24" t="str">
        <x:f>IF(B184="","",IF(ISNUMBER(F184),"OK","Cần kiểm tra"))</x:f>
        <x:v>OK</x:v>
      </x:c>
    </x:row>
    <x:row r="185" ht="21" customHeight="1">
      <x:c r="A185" s="24" t="str">
        <x:v>FM-2026-0184</x:v>
      </x:c>
      <x:c r="B185" s="24" t="str">
        <x:v>HCM_LT</x:v>
      </x:c>
      <x:c r="C185" s="21" t="str">
        <x:v>Phạm Duy 184</x:v>
      </x:c>
      <x:c r="D185" s="21" t="str">
        <x:v>TP. Hồ Chí Minh liên tỉnh</x:v>
      </x:c>
      <x:c r="E185" s="25" t="n">
        <x:v>9.3</x:v>
      </x:c>
      <x:c r="F185" s="26" t="n">
        <x:f>IF(B185="","",IFERROR(VLOOKUP(TRIM(B185),'Giá cước'!$A$2:$D$7,4,FALSE),"Không tìm thấy mã cước"))</x:f>
        <x:v>19500</x:v>
      </x:c>
      <x:c r="G185" s="26" t="n">
        <x:f>IF(OR(B185="",E185=""),"",IFERROR(E185*F185,""))</x:f>
        <x:v>181350</x:v>
      </x:c>
      <x:c r="H185" s="24" t="str">
        <x:f>IF(B185="","",IF(ISNUMBER(F185),"OK","Cần kiểm tra"))</x:f>
        <x:v>OK</x:v>
      </x:c>
    </x:row>
    <x:row r="186" ht="21" customHeight="1">
      <x:c r="A186" s="24" t="str">
        <x:v>FM-2026-0185</x:v>
      </x:c>
      <x:c r="B186" s="24" t="str">
        <x:v>MIEN_TAY</x:v>
      </x:c>
      <x:c r="C186" s="21" t="str">
        <x:v>Võ Hà 185</x:v>
      </x:c>
      <x:c r="D186" s="21" t="str">
        <x:v>Miền Tây</x:v>
      </x:c>
      <x:c r="E186" s="25" t="n">
        <x:v>10</x:v>
      </x:c>
      <x:c r="F186" s="26" t="n">
        <x:f>IF(B186="","",IFERROR(VLOOKUP(TRIM(B186),'Giá cước'!$A$2:$D$7,4,FALSE),"Không tìm thấy mã cước"))</x:f>
        <x:v>22000</x:v>
      </x:c>
      <x:c r="G186" s="26" t="n">
        <x:f>IF(OR(B186="",E186=""),"",IFERROR(E186*F186,""))</x:f>
        <x:v>220000</x:v>
      </x:c>
      <x:c r="H186" s="24" t="str">
        <x:f>IF(B186="","",IF(ISNUMBER(F186),"OK","Cần kiểm tra"))</x:f>
        <x:v>OK</x:v>
      </x:c>
    </x:row>
    <x:row r="187" ht="21" customHeight="1">
      <x:c r="A187" s="24" t="str">
        <x:v>FM-2026-0186</x:v>
      </x:c>
      <x:c r="B187" s="24" t="str">
        <x:v>MIEN_NUI</x:v>
      </x:c>
      <x:c r="C187" s="21" t="str">
        <x:v>Đỗ Khang 186</x:v>
      </x:c>
      <x:c r="D187" s="21" t="str">
        <x:v>Miền núi</x:v>
      </x:c>
      <x:c r="E187" s="25" t="n">
        <x:v>10.7</x:v>
      </x:c>
      <x:c r="F187" s="26" t="n">
        <x:f>IF(B187="","",IFERROR(VLOOKUP(TRIM(B187),'Giá cước'!$A$2:$D$7,4,FALSE),"Không tìm thấy mã cước"))</x:f>
        <x:v>27000</x:v>
      </x:c>
      <x:c r="G187" s="26" t="n">
        <x:f>IF(OR(B187="",E187=""),"",IFERROR(E187*F187,""))</x:f>
        <x:v>288900</x:v>
      </x:c>
      <x:c r="H187" s="24" t="str">
        <x:f>IF(B187="","",IF(ISNUMBER(F187),"OK","Cần kiểm tra"))</x:f>
        <x:v>OK</x:v>
      </x:c>
    </x:row>
    <x:row r="188" ht="21" customHeight="1">
      <x:c r="A188" s="24" t="str">
        <x:v>FM-2026-0187</x:v>
      </x:c>
      <x:c r="B188" s="24" t="str">
        <x:v>HN_NT</x:v>
      </x:c>
      <x:c r="C188" s="21" t="str">
        <x:v>Bùi Lan 187</x:v>
      </x:c>
      <x:c r="D188" s="21" t="str">
        <x:v>Hà Nội nội thành</x:v>
      </x:c>
      <x:c r="E188" s="25" t="n">
        <x:v>11.4</x:v>
      </x:c>
      <x:c r="F188" s="26" t="n">
        <x:f>IF(B188="","",IFERROR(VLOOKUP(TRIM(B188),'Giá cước'!$A$2:$D$7,4,FALSE),"Không tìm thấy mã cước"))</x:f>
        <x:v>12000</x:v>
      </x:c>
      <x:c r="G188" s="26" t="n">
        <x:f>IF(OR(B188="",E188=""),"",IFERROR(E188*F188,""))</x:f>
        <x:v>136800</x:v>
      </x:c>
      <x:c r="H188" s="24" t="str">
        <x:f>IF(B188="","",IF(ISNUMBER(F188),"OK","Cần kiểm tra"))</x:f>
        <x:v>OK</x:v>
      </x:c>
    </x:row>
    <x:row r="189" ht="21" customHeight="1">
      <x:c r="A189" s="24" t="str">
        <x:v>FM-2026-0188</x:v>
      </x:c>
      <x:c r="B189" s="24" t="str">
        <x:v>HN_LT</x:v>
      </x:c>
      <x:c r="C189" s="21" t="str">
        <x:v>Hoàng Minh 188</x:v>
      </x:c>
      <x:c r="D189" s="21" t="str">
        <x:v>Hà Nội liên tỉnh</x:v>
      </x:c>
      <x:c r="E189" s="25" t="n">
        <x:v>12.1</x:v>
      </x:c>
      <x:c r="F189" s="26" t="n">
        <x:f>IF(B189="","",IFERROR(VLOOKUP(TRIM(B189),'Giá cước'!$A$2:$D$7,4,FALSE),"Không tìm thấy mã cước"))</x:f>
        <x:v>18000</x:v>
      </x:c>
      <x:c r="G189" s="26" t="n">
        <x:f>IF(OR(B189="",E189=""),"",IFERROR(E189*F189,""))</x:f>
        <x:v>217800</x:v>
      </x:c>
      <x:c r="H189" s="24" t="str">
        <x:f>IF(B189="","",IF(ISNUMBER(F189),"OK","Cần kiểm tra"))</x:f>
        <x:v>OK</x:v>
      </x:c>
    </x:row>
    <x:row r="190" ht="21" customHeight="1">
      <x:c r="A190" s="24" t="str">
        <x:v>FM-2026-0189</x:v>
      </x:c>
      <x:c r="B190" s="24" t="str">
        <x:v>HCM_NT</x:v>
      </x:c>
      <x:c r="C190" s="21" t="str">
        <x:v>Phan Ngọc 189</x:v>
      </x:c>
      <x:c r="D190" s="21" t="str">
        <x:v>TP. Hồ Chí Minh nội thành</x:v>
      </x:c>
      <x:c r="E190" s="25" t="n">
        <x:v>0.8</x:v>
      </x:c>
      <x:c r="F190" s="26" t="n">
        <x:f>IF(B190="","",IFERROR(VLOOKUP(TRIM(B190),'Giá cước'!$A$2:$D$7,4,FALSE),"Không tìm thấy mã cước"))</x:f>
        <x:v>13000</x:v>
      </x:c>
      <x:c r="G190" s="26" t="n">
        <x:f>IF(OR(B190="",E190=""),"",IFERROR(E190*F190,""))</x:f>
        <x:v>10400</x:v>
      </x:c>
      <x:c r="H190" s="24" t="str">
        <x:f>IF(B190="","",IF(ISNUMBER(F190),"OK","Cần kiểm tra"))</x:f>
        <x:v>OK</x:v>
      </x:c>
    </x:row>
    <x:row r="191" ht="21" customHeight="1">
      <x:c r="A191" s="24" t="str">
        <x:v>FM-2026-0190</x:v>
      </x:c>
      <x:c r="B191" s="24" t="str">
        <x:v>HCM_LT</x:v>
      </x:c>
      <x:c r="C191" s="21" t="str">
        <x:v>Đặng Quân 190</x:v>
      </x:c>
      <x:c r="D191" s="21" t="str">
        <x:v>TP. Hồ Chí Minh liên tỉnh</x:v>
      </x:c>
      <x:c r="E191" s="25" t="n">
        <x:v>1.5</x:v>
      </x:c>
      <x:c r="F191" s="26" t="n">
        <x:f>IF(B191="","",IFERROR(VLOOKUP(TRIM(B191),'Giá cước'!$A$2:$D$7,4,FALSE),"Không tìm thấy mã cước"))</x:f>
        <x:v>19500</x:v>
      </x:c>
      <x:c r="G191" s="26" t="n">
        <x:f>IF(OR(B191="",E191=""),"",IFERROR(E191*F191,""))</x:f>
        <x:v>29250</x:v>
      </x:c>
      <x:c r="H191" s="24" t="str">
        <x:f>IF(B191="","",IF(ISNUMBER(F191),"OK","Cần kiểm tra"))</x:f>
        <x:v>OK</x:v>
      </x:c>
    </x:row>
    <x:row r="192" ht="21" customHeight="1">
      <x:c r="A192" s="24" t="str">
        <x:v>FM-2026-0191</x:v>
      </x:c>
      <x:c r="B192" s="24" t="str">
        <x:v>MIEN_TAY</x:v>
      </x:c>
      <x:c r="C192" s="21" t="str">
        <x:v>Nguyễn An 191</x:v>
      </x:c>
      <x:c r="D192" s="21" t="str">
        <x:v>Miền Tây</x:v>
      </x:c>
      <x:c r="E192" s="25" t="n">
        <x:v>2.2</x:v>
      </x:c>
      <x:c r="F192" s="26" t="n">
        <x:f>IF(B192="","",IFERROR(VLOOKUP(TRIM(B192),'Giá cước'!$A$2:$D$7,4,FALSE),"Không tìm thấy mã cước"))</x:f>
        <x:v>22000</x:v>
      </x:c>
      <x:c r="G192" s="26" t="n">
        <x:f>IF(OR(B192="",E192=""),"",IFERROR(E192*F192,""))</x:f>
        <x:v>48400.00000000001</x:v>
      </x:c>
      <x:c r="H192" s="24" t="str">
        <x:f>IF(B192="","",IF(ISNUMBER(F192),"OK","Cần kiểm tra"))</x:f>
        <x:v>OK</x:v>
      </x:c>
    </x:row>
    <x:row r="193" ht="21" customHeight="1">
      <x:c r="A193" s="24" t="str">
        <x:v>FM-2026-0192</x:v>
      </x:c>
      <x:c r="B193" s="24" t="str">
        <x:v>MIEN_NUI</x:v>
      </x:c>
      <x:c r="C193" s="21" t="str">
        <x:v>Trần Bình 192</x:v>
      </x:c>
      <x:c r="D193" s="21" t="str">
        <x:v>Miền núi</x:v>
      </x:c>
      <x:c r="E193" s="25" t="n">
        <x:v>2.9</x:v>
      </x:c>
      <x:c r="F193" s="26" t="n">
        <x:f>IF(B193="","",IFERROR(VLOOKUP(TRIM(B193),'Giá cước'!$A$2:$D$7,4,FALSE),"Không tìm thấy mã cước"))</x:f>
        <x:v>27000</x:v>
      </x:c>
      <x:c r="G193" s="26" t="n">
        <x:f>IF(OR(B193="",E193=""),"",IFERROR(E193*F193,""))</x:f>
        <x:v>78300</x:v>
      </x:c>
      <x:c r="H193" s="24" t="str">
        <x:f>IF(B193="","",IF(ISNUMBER(F193),"OK","Cần kiểm tra"))</x:f>
        <x:v>OK</x:v>
      </x:c>
    </x:row>
    <x:row r="194" ht="21" customHeight="1">
      <x:c r="A194" s="24" t="str">
        <x:v>FM-2026-0193</x:v>
      </x:c>
      <x:c r="B194" s="24" t="str">
        <x:v>HN_NT</x:v>
      </x:c>
      <x:c r="C194" s="21" t="str">
        <x:v>Lê Chi 193</x:v>
      </x:c>
      <x:c r="D194" s="21" t="str">
        <x:v>Hà Nội nội thành</x:v>
      </x:c>
      <x:c r="E194" s="25" t="n">
        <x:v>3.6</x:v>
      </x:c>
      <x:c r="F194" s="26" t="n">
        <x:f>IF(B194="","",IFERROR(VLOOKUP(TRIM(B194),'Giá cước'!$A$2:$D$7,4,FALSE),"Không tìm thấy mã cước"))</x:f>
        <x:v>12000</x:v>
      </x:c>
      <x:c r="G194" s="26" t="n">
        <x:f>IF(OR(B194="",E194=""),"",IFERROR(E194*F194,""))</x:f>
        <x:v>43200</x:v>
      </x:c>
      <x:c r="H194" s="24" t="str">
        <x:f>IF(B194="","",IF(ISNUMBER(F194),"OK","Cần kiểm tra"))</x:f>
        <x:v>OK</x:v>
      </x:c>
    </x:row>
    <x:row r="195" ht="21" customHeight="1">
      <x:c r="A195" s="24" t="str">
        <x:v>FM-2026-0194</x:v>
      </x:c>
      <x:c r="B195" s="24" t="str">
        <x:v>HN_LT</x:v>
      </x:c>
      <x:c r="C195" s="21" t="str">
        <x:v>Phạm Duy 194</x:v>
      </x:c>
      <x:c r="D195" s="21" t="str">
        <x:v>Hà Nội liên tỉnh</x:v>
      </x:c>
      <x:c r="E195" s="25" t="n">
        <x:v>4.3</x:v>
      </x:c>
      <x:c r="F195" s="26" t="n">
        <x:f>IF(B195="","",IFERROR(VLOOKUP(TRIM(B195),'Giá cước'!$A$2:$D$7,4,FALSE),"Không tìm thấy mã cước"))</x:f>
        <x:v>18000</x:v>
      </x:c>
      <x:c r="G195" s="26" t="n">
        <x:f>IF(OR(B195="",E195=""),"",IFERROR(E195*F195,""))</x:f>
        <x:v>77400</x:v>
      </x:c>
      <x:c r="H195" s="24" t="str">
        <x:f>IF(B195="","",IF(ISNUMBER(F195),"OK","Cần kiểm tra"))</x:f>
        <x:v>OK</x:v>
      </x:c>
    </x:row>
    <x:row r="196" ht="21" customHeight="1">
      <x:c r="A196" s="24" t="str">
        <x:v>FM-2026-0195</x:v>
      </x:c>
      <x:c r="B196" s="24" t="str">
        <x:v>HCM_NT</x:v>
      </x:c>
      <x:c r="C196" s="21" t="str">
        <x:v>Võ Hà 195</x:v>
      </x:c>
      <x:c r="D196" s="21" t="str">
        <x:v>TP. Hồ Chí Minh nội thành</x:v>
      </x:c>
      <x:c r="E196" s="25" t="n">
        <x:v>5</x:v>
      </x:c>
      <x:c r="F196" s="26" t="n">
        <x:f>IF(B196="","",IFERROR(VLOOKUP(TRIM(B196),'Giá cước'!$A$2:$D$7,4,FALSE),"Không tìm thấy mã cước"))</x:f>
        <x:v>13000</x:v>
      </x:c>
      <x:c r="G196" s="26" t="n">
        <x:f>IF(OR(B196="",E196=""),"",IFERROR(E196*F196,""))</x:f>
        <x:v>65000</x:v>
      </x:c>
      <x:c r="H196" s="24" t="str">
        <x:f>IF(B196="","",IF(ISNUMBER(F196),"OK","Cần kiểm tra"))</x:f>
        <x:v>OK</x:v>
      </x:c>
    </x:row>
    <x:row r="197" ht="21" customHeight="1">
      <x:c r="A197" s="24" t="str">
        <x:v>FM-2026-0196</x:v>
      </x:c>
      <x:c r="B197" s="24" t="str">
        <x:v>HCM_LT</x:v>
      </x:c>
      <x:c r="C197" s="21" t="str">
        <x:v>Đỗ Khang 196</x:v>
      </x:c>
      <x:c r="D197" s="21" t="str">
        <x:v>TP. Hồ Chí Minh liên tỉnh</x:v>
      </x:c>
      <x:c r="E197" s="25" t="n">
        <x:v>5.7</x:v>
      </x:c>
      <x:c r="F197" s="26" t="n">
        <x:f>IF(B197="","",IFERROR(VLOOKUP(TRIM(B197),'Giá cước'!$A$2:$D$7,4,FALSE),"Không tìm thấy mã cước"))</x:f>
        <x:v>19500</x:v>
      </x:c>
      <x:c r="G197" s="26" t="n">
        <x:f>IF(OR(B197="",E197=""),"",IFERROR(E197*F197,""))</x:f>
        <x:v>111150</x:v>
      </x:c>
      <x:c r="H197" s="24" t="str">
        <x:f>IF(B197="","",IF(ISNUMBER(F197),"OK","Cần kiểm tra"))</x:f>
        <x:v>OK</x:v>
      </x:c>
    </x:row>
    <x:row r="198" ht="21" customHeight="1">
      <x:c r="A198" s="24" t="str">
        <x:v>FM-2026-0197</x:v>
      </x:c>
      <x:c r="B198" s="24" t="str">
        <x:v>MIEN_TAY</x:v>
      </x:c>
      <x:c r="C198" s="21" t="str">
        <x:v>Bùi Lan 197</x:v>
      </x:c>
      <x:c r="D198" s="21" t="str">
        <x:v>Miền Tây</x:v>
      </x:c>
      <x:c r="E198" s="25" t="n">
        <x:v>6.4</x:v>
      </x:c>
      <x:c r="F198" s="26" t="n">
        <x:f>IF(B198="","",IFERROR(VLOOKUP(TRIM(B198),'Giá cước'!$A$2:$D$7,4,FALSE),"Không tìm thấy mã cước"))</x:f>
        <x:v>22000</x:v>
      </x:c>
      <x:c r="G198" s="26" t="n">
        <x:f>IF(OR(B198="",E198=""),"",IFERROR(E198*F198,""))</x:f>
        <x:v>140800</x:v>
      </x:c>
      <x:c r="H198" s="24" t="str">
        <x:f>IF(B198="","",IF(ISNUMBER(F198),"OK","Cần kiểm tra"))</x:f>
        <x:v>OK</x:v>
      </x:c>
    </x:row>
    <x:row r="199" ht="21" customHeight="1">
      <x:c r="A199" s="24" t="str">
        <x:v>FM-2026-0198</x:v>
      </x:c>
      <x:c r="B199" s="24" t="str">
        <x:v>MIEN_NUI</x:v>
      </x:c>
      <x:c r="C199" s="21" t="str">
        <x:v>Hoàng Minh 198</x:v>
      </x:c>
      <x:c r="D199" s="21" t="str">
        <x:v>Miền núi</x:v>
      </x:c>
      <x:c r="E199" s="25" t="n">
        <x:v>7.1</x:v>
      </x:c>
      <x:c r="F199" s="26" t="n">
        <x:f>IF(B199="","",IFERROR(VLOOKUP(TRIM(B199),'Giá cước'!$A$2:$D$7,4,FALSE),"Không tìm thấy mã cước"))</x:f>
        <x:v>27000</x:v>
      </x:c>
      <x:c r="G199" s="26" t="n">
        <x:f>IF(OR(B199="",E199=""),"",IFERROR(E199*F199,""))</x:f>
        <x:v>191700</x:v>
      </x:c>
      <x:c r="H199" s="24" t="str">
        <x:f>IF(B199="","",IF(ISNUMBER(F199),"OK","Cần kiểm tra"))</x:f>
        <x:v>OK</x:v>
      </x:c>
    </x:row>
    <x:row r="200" ht="21" customHeight="1">
      <x:c r="A200" s="24" t="str">
        <x:v>FM-2026-0199</x:v>
      </x:c>
      <x:c r="B200" s="24" t="str">
        <x:v>HN_NT</x:v>
      </x:c>
      <x:c r="C200" s="21" t="str">
        <x:v>Phan Ngọc 199</x:v>
      </x:c>
      <x:c r="D200" s="21" t="str">
        <x:v>Hà Nội nội thành</x:v>
      </x:c>
      <x:c r="E200" s="25" t="n">
        <x:v>7.8</x:v>
      </x:c>
      <x:c r="F200" s="26" t="n">
        <x:f>IF(B200="","",IFERROR(VLOOKUP(TRIM(B200),'Giá cước'!$A$2:$D$7,4,FALSE),"Không tìm thấy mã cước"))</x:f>
        <x:v>12000</x:v>
      </x:c>
      <x:c r="G200" s="26" t="n">
        <x:f>IF(OR(B200="",E200=""),"",IFERROR(E200*F200,""))</x:f>
        <x:v>93600</x:v>
      </x:c>
      <x:c r="H200" s="24" t="str">
        <x:f>IF(B200="","",IF(ISNUMBER(F200),"OK","Cần kiểm tra"))</x:f>
        <x:v>OK</x:v>
      </x:c>
    </x:row>
    <x:row r="201" ht="21" customHeight="1">
      <x:c r="A201" s="24" t="str">
        <x:v>FM-2026-0200</x:v>
      </x:c>
      <x:c r="B201" s="24" t="str">
        <x:v>HN_LT</x:v>
      </x:c>
      <x:c r="C201" s="21" t="str">
        <x:v>Đặng Quân 200</x:v>
      </x:c>
      <x:c r="D201" s="21" t="str">
        <x:v>Hà Nội liên tỉnh</x:v>
      </x:c>
      <x:c r="E201" s="25" t="n">
        <x:v>8.5</x:v>
      </x:c>
      <x:c r="F201" s="26" t="n">
        <x:f>IF(B201="","",IFERROR(VLOOKUP(TRIM(B201),'Giá cước'!$A$2:$D$7,4,FALSE),"Không tìm thấy mã cước"))</x:f>
        <x:v>18000</x:v>
      </x:c>
      <x:c r="G201" s="26" t="n">
        <x:f>IF(OR(B201="",E201=""),"",IFERROR(E201*F201,""))</x:f>
        <x:v>153000</x:v>
      </x:c>
      <x:c r="H201" s="24" t="str">
        <x:f>IF(B201="","",IF(ISNUMBER(F201),"OK","Cần kiểm tra"))</x:f>
        <x:v>OK</x:v>
      </x:c>
    </x:row>
    <x:row r="202" ht="21" customHeight="1">
      <x:c r="A202" s="24" t="str">
        <x:v>FM-2026-0201</x:v>
      </x:c>
      <x:c r="B202" s="24" t="str">
        <x:v>HCM_NT</x:v>
      </x:c>
      <x:c r="C202" s="21" t="str">
        <x:v>Nguyễn An 201</x:v>
      </x:c>
      <x:c r="D202" s="21" t="str">
        <x:v>TP. Hồ Chí Minh nội thành</x:v>
      </x:c>
      <x:c r="E202" s="25" t="n">
        <x:v>9.2</x:v>
      </x:c>
      <x:c r="F202" s="26" t="n">
        <x:f>IF(B202="","",IFERROR(VLOOKUP(TRIM(B202),'Giá cước'!$A$2:$D$7,4,FALSE),"Không tìm thấy mã cước"))</x:f>
        <x:v>13000</x:v>
      </x:c>
      <x:c r="G202" s="26" t="n">
        <x:f>IF(OR(B202="",E202=""),"",IFERROR(E202*F202,""))</x:f>
        <x:v>119599.99999999999</x:v>
      </x:c>
      <x:c r="H202" s="24" t="str">
        <x:f>IF(B202="","",IF(ISNUMBER(F202),"OK","Cần kiểm tra"))</x:f>
        <x:v>OK</x:v>
      </x:c>
    </x:row>
    <x:row r="203" ht="21" customHeight="1">
      <x:c r="A203" s="24" t="str">
        <x:v>FM-2026-0202</x:v>
      </x:c>
      <x:c r="B203" s="24" t="str">
        <x:v>HCM_LT</x:v>
      </x:c>
      <x:c r="C203" s="21" t="str">
        <x:v>Trần Bình 202</x:v>
      </x:c>
      <x:c r="D203" s="21" t="str">
        <x:v>TP. Hồ Chí Minh liên tỉnh</x:v>
      </x:c>
      <x:c r="E203" s="25" t="n">
        <x:v>9.9</x:v>
      </x:c>
      <x:c r="F203" s="26" t="n">
        <x:f>IF(B203="","",IFERROR(VLOOKUP(TRIM(B203),'Giá cước'!$A$2:$D$7,4,FALSE),"Không tìm thấy mã cước"))</x:f>
        <x:v>19500</x:v>
      </x:c>
      <x:c r="G203" s="26" t="n">
        <x:f>IF(OR(B203="",E203=""),"",IFERROR(E203*F203,""))</x:f>
        <x:v>193050</x:v>
      </x:c>
      <x:c r="H203" s="24" t="str">
        <x:f>IF(B203="","",IF(ISNUMBER(F203),"OK","Cần kiểm tra"))</x:f>
        <x:v>OK</x:v>
      </x:c>
    </x:row>
    <x:row r="204" ht="21" customHeight="1">
      <x:c r="A204" s="24" t="str">
        <x:v>FM-2026-0203</x:v>
      </x:c>
      <x:c r="B204" s="24" t="str">
        <x:v>MIEN_TAY</x:v>
      </x:c>
      <x:c r="C204" s="21" t="str">
        <x:v>Lê Chi 203</x:v>
      </x:c>
      <x:c r="D204" s="21" t="str">
        <x:v>Miền Tây</x:v>
      </x:c>
      <x:c r="E204" s="25" t="n">
        <x:v>10.6</x:v>
      </x:c>
      <x:c r="F204" s="26" t="n">
        <x:f>IF(B204="","",IFERROR(VLOOKUP(TRIM(B204),'Giá cước'!$A$2:$D$7,4,FALSE),"Không tìm thấy mã cước"))</x:f>
        <x:v>22000</x:v>
      </x:c>
      <x:c r="G204" s="26" t="n">
        <x:f>IF(OR(B204="",E204=""),"",IFERROR(E204*F204,""))</x:f>
        <x:v>233200</x:v>
      </x:c>
      <x:c r="H204" s="24" t="str">
        <x:f>IF(B204="","",IF(ISNUMBER(F204),"OK","Cần kiểm tra"))</x:f>
        <x:v>OK</x:v>
      </x:c>
    </x:row>
    <x:row r="205" ht="21" customHeight="1">
      <x:c r="A205" s="24" t="str">
        <x:v>FM-2026-0204</x:v>
      </x:c>
      <x:c r="B205" s="24" t="str">
        <x:v>MIEN_NUI</x:v>
      </x:c>
      <x:c r="C205" s="21" t="str">
        <x:v>Phạm Duy 204</x:v>
      </x:c>
      <x:c r="D205" s="21" t="str">
        <x:v>Miền núi</x:v>
      </x:c>
      <x:c r="E205" s="25" t="n">
        <x:v>11.3</x:v>
      </x:c>
      <x:c r="F205" s="26" t="n">
        <x:f>IF(B205="","",IFERROR(VLOOKUP(TRIM(B205),'Giá cước'!$A$2:$D$7,4,FALSE),"Không tìm thấy mã cước"))</x:f>
        <x:v>27000</x:v>
      </x:c>
      <x:c r="G205" s="26" t="n">
        <x:f>IF(OR(B205="",E205=""),"",IFERROR(E205*F205,""))</x:f>
        <x:v>305100</x:v>
      </x:c>
      <x:c r="H205" s="24" t="str">
        <x:f>IF(B205="","",IF(ISNUMBER(F205),"OK","Cần kiểm tra"))</x:f>
        <x:v>OK</x:v>
      </x:c>
    </x:row>
    <x:row r="206" ht="21" customHeight="1">
      <x:c r="A206" s="24" t="str">
        <x:v>FM-2026-0205</x:v>
      </x:c>
      <x:c r="B206" s="24" t="str">
        <x:v>HN_NT</x:v>
      </x:c>
      <x:c r="C206" s="21" t="str">
        <x:v>Võ Hà 205</x:v>
      </x:c>
      <x:c r="D206" s="21" t="str">
        <x:v>Hà Nội nội thành</x:v>
      </x:c>
      <x:c r="E206" s="25" t="n">
        <x:v>12</x:v>
      </x:c>
      <x:c r="F206" s="26" t="n">
        <x:f>IF(B206="","",IFERROR(VLOOKUP(TRIM(B206),'Giá cước'!$A$2:$D$7,4,FALSE),"Không tìm thấy mã cước"))</x:f>
        <x:v>12000</x:v>
      </x:c>
      <x:c r="G206" s="26" t="n">
        <x:f>IF(OR(B206="",E206=""),"",IFERROR(E206*F206,""))</x:f>
        <x:v>144000</x:v>
      </x:c>
      <x:c r="H206" s="24" t="str">
        <x:f>IF(B206="","",IF(ISNUMBER(F206),"OK","Cần kiểm tra"))</x:f>
        <x:v>OK</x:v>
      </x:c>
    </x:row>
    <x:row r="207" ht="21" customHeight="1">
      <x:c r="A207" s="24" t="str">
        <x:v>FM-2026-0206</x:v>
      </x:c>
      <x:c r="B207" s="24" t="str">
        <x:v>HN_LT</x:v>
      </x:c>
      <x:c r="C207" s="21" t="str">
        <x:v>Đỗ Khang 206</x:v>
      </x:c>
      <x:c r="D207" s="21" t="str">
        <x:v>Hà Nội liên tỉnh</x:v>
      </x:c>
      <x:c r="E207" s="25" t="n">
        <x:v>0.7</x:v>
      </x:c>
      <x:c r="F207" s="26" t="n">
        <x:f>IF(B207="","",IFERROR(VLOOKUP(TRIM(B207),'Giá cước'!$A$2:$D$7,4,FALSE),"Không tìm thấy mã cước"))</x:f>
        <x:v>18000</x:v>
      </x:c>
      <x:c r="G207" s="26" t="n">
        <x:f>IF(OR(B207="",E207=""),"",IFERROR(E207*F207,""))</x:f>
        <x:v>12600</x:v>
      </x:c>
      <x:c r="H207" s="24" t="str">
        <x:f>IF(B207="","",IF(ISNUMBER(F207),"OK","Cần kiểm tra"))</x:f>
        <x:v>OK</x:v>
      </x:c>
    </x:row>
    <x:row r="208" ht="21" customHeight="1">
      <x:c r="A208" s="24" t="str">
        <x:v>FM-2026-0207</x:v>
      </x:c>
      <x:c r="B208" s="24" t="str">
        <x:v>HCM_NT</x:v>
      </x:c>
      <x:c r="C208" s="21" t="str">
        <x:v>Bùi Lan 207</x:v>
      </x:c>
      <x:c r="D208" s="21" t="str">
        <x:v>TP. Hồ Chí Minh nội thành</x:v>
      </x:c>
      <x:c r="E208" s="25" t="n">
        <x:v>1.4</x:v>
      </x:c>
      <x:c r="F208" s="26" t="n">
        <x:f>IF(B208="","",IFERROR(VLOOKUP(TRIM(B208),'Giá cước'!$A$2:$D$7,4,FALSE),"Không tìm thấy mã cước"))</x:f>
        <x:v>13000</x:v>
      </x:c>
      <x:c r="G208" s="26" t="n">
        <x:f>IF(OR(B208="",E208=""),"",IFERROR(E208*F208,""))</x:f>
        <x:v>18200</x:v>
      </x:c>
      <x:c r="H208" s="24" t="str">
        <x:f>IF(B208="","",IF(ISNUMBER(F208),"OK","Cần kiểm tra"))</x:f>
        <x:v>OK</x:v>
      </x:c>
    </x:row>
    <x:row r="209" ht="21" customHeight="1">
      <x:c r="A209" s="24" t="str">
        <x:v>FM-2026-0208</x:v>
      </x:c>
      <x:c r="B209" s="24" t="str">
        <x:v>HCM_LT</x:v>
      </x:c>
      <x:c r="C209" s="21" t="str">
        <x:v>Hoàng Minh 208</x:v>
      </x:c>
      <x:c r="D209" s="21" t="str">
        <x:v>TP. Hồ Chí Minh liên tỉnh</x:v>
      </x:c>
      <x:c r="E209" s="25" t="n">
        <x:v>2.1</x:v>
      </x:c>
      <x:c r="F209" s="26" t="n">
        <x:f>IF(B209="","",IFERROR(VLOOKUP(TRIM(B209),'Giá cước'!$A$2:$D$7,4,FALSE),"Không tìm thấy mã cước"))</x:f>
        <x:v>19500</x:v>
      </x:c>
      <x:c r="G209" s="26" t="n">
        <x:f>IF(OR(B209="",E209=""),"",IFERROR(E209*F209,""))</x:f>
        <x:v>40950</x:v>
      </x:c>
      <x:c r="H209" s="24" t="str">
        <x:f>IF(B209="","",IF(ISNUMBER(F209),"OK","Cần kiểm tra"))</x:f>
        <x:v>OK</x:v>
      </x:c>
    </x:row>
    <x:row r="210" ht="21" customHeight="1">
      <x:c r="A210" s="24" t="str">
        <x:v>FM-2026-0209</x:v>
      </x:c>
      <x:c r="B210" s="24" t="str">
        <x:v>MIEN_TAY</x:v>
      </x:c>
      <x:c r="C210" s="21" t="str">
        <x:v>Phan Ngọc 209</x:v>
      </x:c>
      <x:c r="D210" s="21" t="str">
        <x:v>Miền Tây</x:v>
      </x:c>
      <x:c r="E210" s="25" t="n">
        <x:v>2.8</x:v>
      </x:c>
      <x:c r="F210" s="26" t="n">
        <x:f>IF(B210="","",IFERROR(VLOOKUP(TRIM(B210),'Giá cước'!$A$2:$D$7,4,FALSE),"Không tìm thấy mã cước"))</x:f>
        <x:v>22000</x:v>
      </x:c>
      <x:c r="G210" s="26" t="n">
        <x:f>IF(OR(B210="",E210=""),"",IFERROR(E210*F210,""))</x:f>
        <x:v>61599.99999999999</x:v>
      </x:c>
      <x:c r="H210" s="24" t="str">
        <x:f>IF(B210="","",IF(ISNUMBER(F210),"OK","Cần kiểm tra"))</x:f>
        <x:v>OK</x:v>
      </x:c>
    </x:row>
    <x:row r="211" ht="21" customHeight="1">
      <x:c r="A211" s="24" t="str">
        <x:v>FM-2026-0210</x:v>
      </x:c>
      <x:c r="B211" s="24" t="str">
        <x:v>MIEN_NUI</x:v>
      </x:c>
      <x:c r="C211" s="21" t="str">
        <x:v>Đặng Quân 210</x:v>
      </x:c>
      <x:c r="D211" s="21" t="str">
        <x:v>Miền núi</x:v>
      </x:c>
      <x:c r="E211" s="25" t="n">
        <x:v>3.5</x:v>
      </x:c>
      <x:c r="F211" s="26" t="n">
        <x:f>IF(B211="","",IFERROR(VLOOKUP(TRIM(B211),'Giá cước'!$A$2:$D$7,4,FALSE),"Không tìm thấy mã cước"))</x:f>
        <x:v>27000</x:v>
      </x:c>
      <x:c r="G211" s="26" t="n">
        <x:f>IF(OR(B211="",E211=""),"",IFERROR(E211*F211,""))</x:f>
        <x:v>94500</x:v>
      </x:c>
      <x:c r="H211" s="24" t="str">
        <x:f>IF(B211="","",IF(ISNUMBER(F211),"OK","Cần kiểm tra"))</x:f>
        <x:v>OK</x:v>
      </x:c>
    </x:row>
    <x:row r="212" ht="21" customHeight="1">
      <x:c r="A212" s="24" t="str">
        <x:v>FM-2026-0211</x:v>
      </x:c>
      <x:c r="B212" s="24" t="str">
        <x:v>HN_NT</x:v>
      </x:c>
      <x:c r="C212" s="21" t="str">
        <x:v>Nguyễn An 211</x:v>
      </x:c>
      <x:c r="D212" s="21" t="str">
        <x:v>Hà Nội nội thành</x:v>
      </x:c>
      <x:c r="E212" s="25" t="n">
        <x:v>4.2</x:v>
      </x:c>
      <x:c r="F212" s="26" t="n">
        <x:f>IF(B212="","",IFERROR(VLOOKUP(TRIM(B212),'Giá cước'!$A$2:$D$7,4,FALSE),"Không tìm thấy mã cước"))</x:f>
        <x:v>12000</x:v>
      </x:c>
      <x:c r="G212" s="26" t="n">
        <x:f>IF(OR(B212="",E212=""),"",IFERROR(E212*F212,""))</x:f>
        <x:v>50400</x:v>
      </x:c>
      <x:c r="H212" s="24" t="str">
        <x:f>IF(B212="","",IF(ISNUMBER(F212),"OK","Cần kiểm tra"))</x:f>
        <x:v>OK</x:v>
      </x:c>
    </x:row>
    <x:row r="213" ht="21" customHeight="1">
      <x:c r="A213" s="24" t="str">
        <x:v>FM-2026-0212</x:v>
      </x:c>
      <x:c r="B213" s="24" t="str">
        <x:v>HN_LT</x:v>
      </x:c>
      <x:c r="C213" s="21" t="str">
        <x:v>Trần Bình 212</x:v>
      </x:c>
      <x:c r="D213" s="21" t="str">
        <x:v>Hà Nội liên tỉnh</x:v>
      </x:c>
      <x:c r="E213" s="25" t="n">
        <x:v>4.9</x:v>
      </x:c>
      <x:c r="F213" s="26" t="n">
        <x:f>IF(B213="","",IFERROR(VLOOKUP(TRIM(B213),'Giá cước'!$A$2:$D$7,4,FALSE),"Không tìm thấy mã cước"))</x:f>
        <x:v>18000</x:v>
      </x:c>
      <x:c r="G213" s="26" t="n">
        <x:f>IF(OR(B213="",E213=""),"",IFERROR(E213*F213,""))</x:f>
        <x:v>88200</x:v>
      </x:c>
      <x:c r="H213" s="24" t="str">
        <x:f>IF(B213="","",IF(ISNUMBER(F213),"OK","Cần kiểm tra"))</x:f>
        <x:v>OK</x:v>
      </x:c>
    </x:row>
    <x:row r="214" ht="21" customHeight="1">
      <x:c r="A214" s="24" t="str">
        <x:v>FM-2026-0213</x:v>
      </x:c>
      <x:c r="B214" s="24" t="str">
        <x:v>HCM_NT</x:v>
      </x:c>
      <x:c r="C214" s="21" t="str">
        <x:v>Lê Chi 213</x:v>
      </x:c>
      <x:c r="D214" s="21" t="str">
        <x:v>TP. Hồ Chí Minh nội thành</x:v>
      </x:c>
      <x:c r="E214" s="25" t="n">
        <x:v>5.6</x:v>
      </x:c>
      <x:c r="F214" s="26" t="n">
        <x:f>IF(B214="","",IFERROR(VLOOKUP(TRIM(B214),'Giá cước'!$A$2:$D$7,4,FALSE),"Không tìm thấy mã cước"))</x:f>
        <x:v>13000</x:v>
      </x:c>
      <x:c r="G214" s="26" t="n">
        <x:f>IF(OR(B214="",E214=""),"",IFERROR(E214*F214,""))</x:f>
        <x:v>72800</x:v>
      </x:c>
      <x:c r="H214" s="24" t="str">
        <x:f>IF(B214="","",IF(ISNUMBER(F214),"OK","Cần kiểm tra"))</x:f>
        <x:v>OK</x:v>
      </x:c>
    </x:row>
    <x:row r="215" ht="21" customHeight="1">
      <x:c r="A215" s="24" t="str">
        <x:v>FM-2026-0214</x:v>
      </x:c>
      <x:c r="B215" s="24" t="str">
        <x:v>HCM_LT</x:v>
      </x:c>
      <x:c r="C215" s="21" t="str">
        <x:v>Phạm Duy 214</x:v>
      </x:c>
      <x:c r="D215" s="21" t="str">
        <x:v>TP. Hồ Chí Minh liên tỉnh</x:v>
      </x:c>
      <x:c r="E215" s="25" t="n">
        <x:v>6.3</x:v>
      </x:c>
      <x:c r="F215" s="26" t="n">
        <x:f>IF(B215="","",IFERROR(VLOOKUP(TRIM(B215),'Giá cước'!$A$2:$D$7,4,FALSE),"Không tìm thấy mã cước"))</x:f>
        <x:v>19500</x:v>
      </x:c>
      <x:c r="G215" s="26" t="n">
        <x:f>IF(OR(B215="",E215=""),"",IFERROR(E215*F215,""))</x:f>
        <x:v>122850</x:v>
      </x:c>
      <x:c r="H215" s="24" t="str">
        <x:f>IF(B215="","",IF(ISNUMBER(F215),"OK","Cần kiểm tra"))</x:f>
        <x:v>OK</x:v>
      </x:c>
    </x:row>
    <x:row r="216" ht="21" customHeight="1">
      <x:c r="A216" s="24" t="str">
        <x:v>FM-2026-0215</x:v>
      </x:c>
      <x:c r="B216" s="24" t="str">
        <x:v>MIEN_TAY</x:v>
      </x:c>
      <x:c r="C216" s="21" t="str">
        <x:v>Võ Hà 215</x:v>
      </x:c>
      <x:c r="D216" s="21" t="str">
        <x:v>Miền Tây</x:v>
      </x:c>
      <x:c r="E216" s="25" t="n">
        <x:v>7</x:v>
      </x:c>
      <x:c r="F216" s="26" t="n">
        <x:f>IF(B216="","",IFERROR(VLOOKUP(TRIM(B216),'Giá cước'!$A$2:$D$7,4,FALSE),"Không tìm thấy mã cước"))</x:f>
        <x:v>22000</x:v>
      </x:c>
      <x:c r="G216" s="26" t="n">
        <x:f>IF(OR(B216="",E216=""),"",IFERROR(E216*F216,""))</x:f>
        <x:v>154000</x:v>
      </x:c>
      <x:c r="H216" s="24" t="str">
        <x:f>IF(B216="","",IF(ISNUMBER(F216),"OK","Cần kiểm tra"))</x:f>
        <x:v>OK</x:v>
      </x:c>
    </x:row>
    <x:row r="217" ht="21" customHeight="1">
      <x:c r="A217" s="24" t="str">
        <x:v>FM-2026-0216</x:v>
      </x:c>
      <x:c r="B217" s="24" t="str">
        <x:v>MIEN_NUI</x:v>
      </x:c>
      <x:c r="C217" s="21" t="str">
        <x:v>Đỗ Khang 216</x:v>
      </x:c>
      <x:c r="D217" s="21" t="str">
        <x:v>Miền núi</x:v>
      </x:c>
      <x:c r="E217" s="25" t="n">
        <x:v>7.7</x:v>
      </x:c>
      <x:c r="F217" s="26" t="n">
        <x:f>IF(B217="","",IFERROR(VLOOKUP(TRIM(B217),'Giá cước'!$A$2:$D$7,4,FALSE),"Không tìm thấy mã cước"))</x:f>
        <x:v>27000</x:v>
      </x:c>
      <x:c r="G217" s="26" t="n">
        <x:f>IF(OR(B217="",E217=""),"",IFERROR(E217*F217,""))</x:f>
        <x:v>207900</x:v>
      </x:c>
      <x:c r="H217" s="24" t="str">
        <x:f>IF(B217="","",IF(ISNUMBER(F217),"OK","Cần kiểm tra"))</x:f>
        <x:v>OK</x:v>
      </x:c>
    </x:row>
    <x:row r="218" ht="21" customHeight="1">
      <x:c r="A218" s="24" t="str">
        <x:v>FM-2026-0217</x:v>
      </x:c>
      <x:c r="B218" s="24" t="str">
        <x:v>HN_NT</x:v>
      </x:c>
      <x:c r="C218" s="21" t="str">
        <x:v>Bùi Lan 217</x:v>
      </x:c>
      <x:c r="D218" s="21" t="str">
        <x:v>Hà Nội nội thành</x:v>
      </x:c>
      <x:c r="E218" s="25" t="n">
        <x:v>8.4</x:v>
      </x:c>
      <x:c r="F218" s="26" t="n">
        <x:f>IF(B218="","",IFERROR(VLOOKUP(TRIM(B218),'Giá cước'!$A$2:$D$7,4,FALSE),"Không tìm thấy mã cước"))</x:f>
        <x:v>12000</x:v>
      </x:c>
      <x:c r="G218" s="26" t="n">
        <x:f>IF(OR(B218="",E218=""),"",IFERROR(E218*F218,""))</x:f>
        <x:v>100800</x:v>
      </x:c>
      <x:c r="H218" s="24" t="str">
        <x:f>IF(B218="","",IF(ISNUMBER(F218),"OK","Cần kiểm tra"))</x:f>
        <x:v>OK</x:v>
      </x:c>
    </x:row>
    <x:row r="219" ht="21" customHeight="1">
      <x:c r="A219" s="24" t="str">
        <x:v>FM-2026-0218</x:v>
      </x:c>
      <x:c r="B219" s="24" t="str">
        <x:v>HN_LT</x:v>
      </x:c>
      <x:c r="C219" s="21" t="str">
        <x:v>Hoàng Minh 218</x:v>
      </x:c>
      <x:c r="D219" s="21" t="str">
        <x:v>Hà Nội liên tỉnh</x:v>
      </x:c>
      <x:c r="E219" s="25" t="n">
        <x:v>9.1</x:v>
      </x:c>
      <x:c r="F219" s="26" t="n">
        <x:f>IF(B219="","",IFERROR(VLOOKUP(TRIM(B219),'Giá cước'!$A$2:$D$7,4,FALSE),"Không tìm thấy mã cước"))</x:f>
        <x:v>18000</x:v>
      </x:c>
      <x:c r="G219" s="26" t="n">
        <x:f>IF(OR(B219="",E219=""),"",IFERROR(E219*F219,""))</x:f>
        <x:v>163800</x:v>
      </x:c>
      <x:c r="H219" s="24" t="str">
        <x:f>IF(B219="","",IF(ISNUMBER(F219),"OK","Cần kiểm tra"))</x:f>
        <x:v>OK</x:v>
      </x:c>
    </x:row>
    <x:row r="220" ht="21" customHeight="1">
      <x:c r="A220" s="24" t="str">
        <x:v>FM-2026-0219</x:v>
      </x:c>
      <x:c r="B220" s="24" t="str">
        <x:v>HCM_NT</x:v>
      </x:c>
      <x:c r="C220" s="21" t="str">
        <x:v>Phan Ngọc 219</x:v>
      </x:c>
      <x:c r="D220" s="21" t="str">
        <x:v>TP. Hồ Chí Minh nội thành</x:v>
      </x:c>
      <x:c r="E220" s="25" t="n">
        <x:v>9.8</x:v>
      </x:c>
      <x:c r="F220" s="26" t="n">
        <x:f>IF(B220="","",IFERROR(VLOOKUP(TRIM(B220),'Giá cước'!$A$2:$D$7,4,FALSE),"Không tìm thấy mã cước"))</x:f>
        <x:v>13000</x:v>
      </x:c>
      <x:c r="G220" s="26" t="n">
        <x:f>IF(OR(B220="",E220=""),"",IFERROR(E220*F220,""))</x:f>
        <x:v>127400.00000000001</x:v>
      </x:c>
      <x:c r="H220" s="24" t="str">
        <x:f>IF(B220="","",IF(ISNUMBER(F220),"OK","Cần kiểm tra"))</x:f>
        <x:v>OK</x:v>
      </x:c>
    </x:row>
    <x:row r="221" ht="21" customHeight="1">
      <x:c r="A221" s="24" t="str">
        <x:v>FM-2026-0220</x:v>
      </x:c>
      <x:c r="B221" s="24" t="str">
        <x:v>HCM_LT</x:v>
      </x:c>
      <x:c r="C221" s="21" t="str">
        <x:v>Đặng Quân 220</x:v>
      </x:c>
      <x:c r="D221" s="21" t="str">
        <x:v>TP. Hồ Chí Minh liên tỉnh</x:v>
      </x:c>
      <x:c r="E221" s="25" t="n">
        <x:v>10.5</x:v>
      </x:c>
      <x:c r="F221" s="26" t="n">
        <x:f>IF(B221="","",IFERROR(VLOOKUP(TRIM(B221),'Giá cước'!$A$2:$D$7,4,FALSE),"Không tìm thấy mã cước"))</x:f>
        <x:v>19500</x:v>
      </x:c>
      <x:c r="G221" s="26" t="n">
        <x:f>IF(OR(B221="",E221=""),"",IFERROR(E221*F221,""))</x:f>
        <x:v>204750</x:v>
      </x:c>
      <x:c r="H221" s="24" t="str">
        <x:f>IF(B221="","",IF(ISNUMBER(F221),"OK","Cần kiểm tra"))</x:f>
        <x:v>OK</x:v>
      </x:c>
    </x:row>
    <x:row r="222" ht="21" customHeight="1">
      <x:c r="A222" s="24" t="str">
        <x:v>FM-2026-0221</x:v>
      </x:c>
      <x:c r="B222" s="24" t="str">
        <x:v>MIEN_TAY</x:v>
      </x:c>
      <x:c r="C222" s="21" t="str">
        <x:v>Nguyễn An 221</x:v>
      </x:c>
      <x:c r="D222" s="21" t="str">
        <x:v>Miền Tây</x:v>
      </x:c>
      <x:c r="E222" s="25" t="n">
        <x:v>11.2</x:v>
      </x:c>
      <x:c r="F222" s="26" t="n">
        <x:f>IF(B222="","",IFERROR(VLOOKUP(TRIM(B222),'Giá cước'!$A$2:$D$7,4,FALSE),"Không tìm thấy mã cước"))</x:f>
        <x:v>22000</x:v>
      </x:c>
      <x:c r="G222" s="26" t="n">
        <x:f>IF(OR(B222="",E222=""),"",IFERROR(E222*F222,""))</x:f>
        <x:v>246399.99999999997</x:v>
      </x:c>
      <x:c r="H222" s="24" t="str">
        <x:f>IF(B222="","",IF(ISNUMBER(F222),"OK","Cần kiểm tra"))</x:f>
        <x:v>OK</x:v>
      </x:c>
    </x:row>
    <x:row r="223" ht="21" customHeight="1">
      <x:c r="A223" s="24" t="str">
        <x:v>FM-2026-0222</x:v>
      </x:c>
      <x:c r="B223" s="24" t="str">
        <x:v>MIEN_NUI</x:v>
      </x:c>
      <x:c r="C223" s="21" t="str">
        <x:v>Trần Bình 222</x:v>
      </x:c>
      <x:c r="D223" s="21" t="str">
        <x:v>Miền núi</x:v>
      </x:c>
      <x:c r="E223" s="25" t="n">
        <x:v>11.9</x:v>
      </x:c>
      <x:c r="F223" s="26" t="n">
        <x:f>IF(B223="","",IFERROR(VLOOKUP(TRIM(B223),'Giá cước'!$A$2:$D$7,4,FALSE),"Không tìm thấy mã cước"))</x:f>
        <x:v>27000</x:v>
      </x:c>
      <x:c r="G223" s="26" t="n">
        <x:f>IF(OR(B223="",E223=""),"",IFERROR(E223*F223,""))</x:f>
        <x:v>321300</x:v>
      </x:c>
      <x:c r="H223" s="24" t="str">
        <x:f>IF(B223="","",IF(ISNUMBER(F223),"OK","Cần kiểm tra"))</x:f>
        <x:v>OK</x:v>
      </x:c>
    </x:row>
    <x:row r="224" ht="21" customHeight="1">
      <x:c r="A224" s="24" t="str">
        <x:v>FM-2026-0223</x:v>
      </x:c>
      <x:c r="B224" s="24" t="str">
        <x:v>HN_NT</x:v>
      </x:c>
      <x:c r="C224" s="21" t="str">
        <x:v>Lê Chi 223</x:v>
      </x:c>
      <x:c r="D224" s="21" t="str">
        <x:v>Hà Nội nội thành</x:v>
      </x:c>
      <x:c r="E224" s="25" t="n">
        <x:v>0.6</x:v>
      </x:c>
      <x:c r="F224" s="26" t="n">
        <x:f>IF(B224="","",IFERROR(VLOOKUP(TRIM(B224),'Giá cước'!$A$2:$D$7,4,FALSE),"Không tìm thấy mã cước"))</x:f>
        <x:v>12000</x:v>
      </x:c>
      <x:c r="G224" s="26" t="n">
        <x:f>IF(OR(B224="",E224=""),"",IFERROR(E224*F224,""))</x:f>
        <x:v>7200</x:v>
      </x:c>
      <x:c r="H224" s="24" t="str">
        <x:f>IF(B224="","",IF(ISNUMBER(F224),"OK","Cần kiểm tra"))</x:f>
        <x:v>OK</x:v>
      </x:c>
    </x:row>
    <x:row r="225" ht="21" customHeight="1">
      <x:c r="A225" s="24" t="str">
        <x:v>FM-2026-0224</x:v>
      </x:c>
      <x:c r="B225" s="24" t="str">
        <x:v>HN_LT</x:v>
      </x:c>
      <x:c r="C225" s="21" t="str">
        <x:v>Phạm Duy 224</x:v>
      </x:c>
      <x:c r="D225" s="21" t="str">
        <x:v>Hà Nội liên tỉnh</x:v>
      </x:c>
      <x:c r="E225" s="25" t="n">
        <x:v>1.3</x:v>
      </x:c>
      <x:c r="F225" s="26" t="n">
        <x:f>IF(B225="","",IFERROR(VLOOKUP(TRIM(B225),'Giá cước'!$A$2:$D$7,4,FALSE),"Không tìm thấy mã cước"))</x:f>
        <x:v>18000</x:v>
      </x:c>
      <x:c r="G225" s="26" t="n">
        <x:f>IF(OR(B225="",E225=""),"",IFERROR(E225*F225,""))</x:f>
        <x:v>23400</x:v>
      </x:c>
      <x:c r="H225" s="24" t="str">
        <x:f>IF(B225="","",IF(ISNUMBER(F225),"OK","Cần kiểm tra"))</x:f>
        <x:v>OK</x:v>
      </x:c>
    </x:row>
    <x:row r="226" ht="21" customHeight="1">
      <x:c r="A226" s="24" t="str">
        <x:v>FM-2026-0225</x:v>
      </x:c>
      <x:c r="B226" s="24" t="str">
        <x:v>HCM_NT</x:v>
      </x:c>
      <x:c r="C226" s="21" t="str">
        <x:v>Võ Hà 225</x:v>
      </x:c>
      <x:c r="D226" s="21" t="str">
        <x:v>TP. Hồ Chí Minh nội thành</x:v>
      </x:c>
      <x:c r="E226" s="25" t="n">
        <x:v>2</x:v>
      </x:c>
      <x:c r="F226" s="26" t="n">
        <x:f>IF(B226="","",IFERROR(VLOOKUP(TRIM(B226),'Giá cước'!$A$2:$D$7,4,FALSE),"Không tìm thấy mã cước"))</x:f>
        <x:v>13000</x:v>
      </x:c>
      <x:c r="G226" s="26" t="n">
        <x:f>IF(OR(B226="",E226=""),"",IFERROR(E226*F226,""))</x:f>
        <x:v>26000</x:v>
      </x:c>
      <x:c r="H226" s="24" t="str">
        <x:f>IF(B226="","",IF(ISNUMBER(F226),"OK","Cần kiểm tra"))</x:f>
        <x:v>OK</x:v>
      </x:c>
    </x:row>
    <x:row r="227" ht="21" customHeight="1">
      <x:c r="A227" s="24" t="str">
        <x:v>FM-2026-0226</x:v>
      </x:c>
      <x:c r="B227" s="24" t="str">
        <x:v>HCM_LT</x:v>
      </x:c>
      <x:c r="C227" s="21" t="str">
        <x:v>Đỗ Khang 226</x:v>
      </x:c>
      <x:c r="D227" s="21" t="str">
        <x:v>TP. Hồ Chí Minh liên tỉnh</x:v>
      </x:c>
      <x:c r="E227" s="25" t="n">
        <x:v>2.7</x:v>
      </x:c>
      <x:c r="F227" s="26" t="n">
        <x:f>IF(B227="","",IFERROR(VLOOKUP(TRIM(B227),'Giá cước'!$A$2:$D$7,4,FALSE),"Không tìm thấy mã cước"))</x:f>
        <x:v>19500</x:v>
      </x:c>
      <x:c r="G227" s="26" t="n">
        <x:f>IF(OR(B227="",E227=""),"",IFERROR(E227*F227,""))</x:f>
        <x:v>52650</x:v>
      </x:c>
      <x:c r="H227" s="24" t="str">
        <x:f>IF(B227="","",IF(ISNUMBER(F227),"OK","Cần kiểm tra"))</x:f>
        <x:v>OK</x:v>
      </x:c>
    </x:row>
    <x:row r="228" ht="21" customHeight="1">
      <x:c r="A228" s="24" t="str">
        <x:v>FM-2026-0227</x:v>
      </x:c>
      <x:c r="B228" s="24" t="str">
        <x:v>MIEN_TAY</x:v>
      </x:c>
      <x:c r="C228" s="21" t="str">
        <x:v>Bùi Lan 227</x:v>
      </x:c>
      <x:c r="D228" s="21" t="str">
        <x:v>Miền Tây</x:v>
      </x:c>
      <x:c r="E228" s="25" t="n">
        <x:v>3.4</x:v>
      </x:c>
      <x:c r="F228" s="26" t="n">
        <x:f>IF(B228="","",IFERROR(VLOOKUP(TRIM(B228),'Giá cước'!$A$2:$D$7,4,FALSE),"Không tìm thấy mã cước"))</x:f>
        <x:v>22000</x:v>
      </x:c>
      <x:c r="G228" s="26" t="n">
        <x:f>IF(OR(B228="",E228=""),"",IFERROR(E228*F228,""))</x:f>
        <x:v>74800</x:v>
      </x:c>
      <x:c r="H228" s="24" t="str">
        <x:f>IF(B228="","",IF(ISNUMBER(F228),"OK","Cần kiểm tra"))</x:f>
        <x:v>OK</x:v>
      </x:c>
    </x:row>
    <x:row r="229" ht="21" customHeight="1">
      <x:c r="A229" s="24" t="str">
        <x:v>FM-2026-0228</x:v>
      </x:c>
      <x:c r="B229" s="24" t="str">
        <x:v>MIEN_NUI</x:v>
      </x:c>
      <x:c r="C229" s="21" t="str">
        <x:v>Hoàng Minh 228</x:v>
      </x:c>
      <x:c r="D229" s="21" t="str">
        <x:v>Miền núi</x:v>
      </x:c>
      <x:c r="E229" s="25" t="n">
        <x:v>4.1</x:v>
      </x:c>
      <x:c r="F229" s="26" t="n">
        <x:f>IF(B229="","",IFERROR(VLOOKUP(TRIM(B229),'Giá cước'!$A$2:$D$7,4,FALSE),"Không tìm thấy mã cước"))</x:f>
        <x:v>27000</x:v>
      </x:c>
      <x:c r="G229" s="26" t="n">
        <x:f>IF(OR(B229="",E229=""),"",IFERROR(E229*F229,""))</x:f>
        <x:v>110699.99999999999</x:v>
      </x:c>
      <x:c r="H229" s="24" t="str">
        <x:f>IF(B229="","",IF(ISNUMBER(F229),"OK","Cần kiểm tra"))</x:f>
        <x:v>OK</x:v>
      </x:c>
    </x:row>
    <x:row r="230" ht="21" customHeight="1">
      <x:c r="A230" s="24" t="str">
        <x:v>FM-2026-0229</x:v>
      </x:c>
      <x:c r="B230" s="24" t="str">
        <x:v>HN_NT</x:v>
      </x:c>
      <x:c r="C230" s="21" t="str">
        <x:v>Phan Ngọc 229</x:v>
      </x:c>
      <x:c r="D230" s="21" t="str">
        <x:v>Hà Nội nội thành</x:v>
      </x:c>
      <x:c r="E230" s="25" t="n">
        <x:v>4.8</x:v>
      </x:c>
      <x:c r="F230" s="26" t="n">
        <x:f>IF(B230="","",IFERROR(VLOOKUP(TRIM(B230),'Giá cước'!$A$2:$D$7,4,FALSE),"Không tìm thấy mã cước"))</x:f>
        <x:v>12000</x:v>
      </x:c>
      <x:c r="G230" s="26" t="n">
        <x:f>IF(OR(B230="",E230=""),"",IFERROR(E230*F230,""))</x:f>
        <x:v>57600</x:v>
      </x:c>
      <x:c r="H230" s="24" t="str">
        <x:f>IF(B230="","",IF(ISNUMBER(F230),"OK","Cần kiểm tra"))</x:f>
        <x:v>OK</x:v>
      </x:c>
    </x:row>
    <x:row r="231" ht="21" customHeight="1">
      <x:c r="A231" s="24" t="str">
        <x:v>FM-2026-0230</x:v>
      </x:c>
      <x:c r="B231" s="24" t="str">
        <x:v>HN_LT</x:v>
      </x:c>
      <x:c r="C231" s="21" t="str">
        <x:v>Đặng Quân 230</x:v>
      </x:c>
      <x:c r="D231" s="21" t="str">
        <x:v>Hà Nội liên tỉnh</x:v>
      </x:c>
      <x:c r="E231" s="25" t="n">
        <x:v>5.5</x:v>
      </x:c>
      <x:c r="F231" s="26" t="n">
        <x:f>IF(B231="","",IFERROR(VLOOKUP(TRIM(B231),'Giá cước'!$A$2:$D$7,4,FALSE),"Không tìm thấy mã cước"))</x:f>
        <x:v>18000</x:v>
      </x:c>
      <x:c r="G231" s="26" t="n">
        <x:f>IF(OR(B231="",E231=""),"",IFERROR(E231*F231,""))</x:f>
        <x:v>99000</x:v>
      </x:c>
      <x:c r="H231" s="24" t="str">
        <x:f>IF(B231="","",IF(ISNUMBER(F231),"OK","Cần kiểm tra"))</x:f>
        <x:v>OK</x:v>
      </x:c>
    </x:row>
    <x:row r="232" ht="21" customHeight="1">
      <x:c r="A232" s="24" t="str">
        <x:v>FM-2026-0231</x:v>
      </x:c>
      <x:c r="B232" s="24" t="str">
        <x:v>HCM_NT</x:v>
      </x:c>
      <x:c r="C232" s="21" t="str">
        <x:v>Nguyễn An 231</x:v>
      </x:c>
      <x:c r="D232" s="21" t="str">
        <x:v>TP. Hồ Chí Minh nội thành</x:v>
      </x:c>
      <x:c r="E232" s="25" t="n">
        <x:v>6.2</x:v>
      </x:c>
      <x:c r="F232" s="26" t="n">
        <x:f>IF(B232="","",IFERROR(VLOOKUP(TRIM(B232),'Giá cước'!$A$2:$D$7,4,FALSE),"Không tìm thấy mã cước"))</x:f>
        <x:v>13000</x:v>
      </x:c>
      <x:c r="G232" s="26" t="n">
        <x:f>IF(OR(B232="",E232=""),"",IFERROR(E232*F232,""))</x:f>
        <x:v>80600</x:v>
      </x:c>
      <x:c r="H232" s="24" t="str">
        <x:f>IF(B232="","",IF(ISNUMBER(F232),"OK","Cần kiểm tra"))</x:f>
        <x:v>OK</x:v>
      </x:c>
    </x:row>
    <x:row r="233" ht="21" customHeight="1">
      <x:c r="A233" s="24" t="str">
        <x:v>FM-2026-0232</x:v>
      </x:c>
      <x:c r="B233" s="24" t="str">
        <x:v>HCM_LT</x:v>
      </x:c>
      <x:c r="C233" s="21" t="str">
        <x:v>Trần Bình 232</x:v>
      </x:c>
      <x:c r="D233" s="21" t="str">
        <x:v>TP. Hồ Chí Minh liên tỉnh</x:v>
      </x:c>
      <x:c r="E233" s="25" t="n">
        <x:v>6.9</x:v>
      </x:c>
      <x:c r="F233" s="26" t="n">
        <x:f>IF(B233="","",IFERROR(VLOOKUP(TRIM(B233),'Giá cước'!$A$2:$D$7,4,FALSE),"Không tìm thấy mã cước"))</x:f>
        <x:v>19500</x:v>
      </x:c>
      <x:c r="G233" s="26" t="n">
        <x:f>IF(OR(B233="",E233=""),"",IFERROR(E233*F233,""))</x:f>
        <x:v>134550</x:v>
      </x:c>
      <x:c r="H233" s="24" t="str">
        <x:f>IF(B233="","",IF(ISNUMBER(F233),"OK","Cần kiểm tra"))</x:f>
        <x:v>OK</x:v>
      </x:c>
    </x:row>
    <x:row r="234" ht="21" customHeight="1">
      <x:c r="A234" s="24" t="str">
        <x:v>FM-2026-0233</x:v>
      </x:c>
      <x:c r="B234" s="24" t="str">
        <x:v>MIEN_TAY</x:v>
      </x:c>
      <x:c r="C234" s="21" t="str">
        <x:v>Lê Chi 233</x:v>
      </x:c>
      <x:c r="D234" s="21" t="str">
        <x:v>Miền Tây</x:v>
      </x:c>
      <x:c r="E234" s="25" t="n">
        <x:v>7.6</x:v>
      </x:c>
      <x:c r="F234" s="26" t="n">
        <x:f>IF(B234="","",IFERROR(VLOOKUP(TRIM(B234),'Giá cước'!$A$2:$D$7,4,FALSE),"Không tìm thấy mã cước"))</x:f>
        <x:v>22000</x:v>
      </x:c>
      <x:c r="G234" s="26" t="n">
        <x:f>IF(OR(B234="",E234=""),"",IFERROR(E234*F234,""))</x:f>
        <x:v>167200</x:v>
      </x:c>
      <x:c r="H234" s="24" t="str">
        <x:f>IF(B234="","",IF(ISNUMBER(F234),"OK","Cần kiểm tra"))</x:f>
        <x:v>OK</x:v>
      </x:c>
    </x:row>
    <x:row r="235" ht="21" customHeight="1">
      <x:c r="A235" s="24" t="str">
        <x:v>FM-2026-0234</x:v>
      </x:c>
      <x:c r="B235" s="24" t="str">
        <x:v>MIEN_NUI</x:v>
      </x:c>
      <x:c r="C235" s="21" t="str">
        <x:v>Phạm Duy 234</x:v>
      </x:c>
      <x:c r="D235" s="21" t="str">
        <x:v>Miền núi</x:v>
      </x:c>
      <x:c r="E235" s="25" t="n">
        <x:v>8.3</x:v>
      </x:c>
      <x:c r="F235" s="26" t="n">
        <x:f>IF(B235="","",IFERROR(VLOOKUP(TRIM(B235),'Giá cước'!$A$2:$D$7,4,FALSE),"Không tìm thấy mã cước"))</x:f>
        <x:v>27000</x:v>
      </x:c>
      <x:c r="G235" s="26" t="n">
        <x:f>IF(OR(B235="",E235=""),"",IFERROR(E235*F235,""))</x:f>
        <x:v>224100.00000000003</x:v>
      </x:c>
      <x:c r="H235" s="24" t="str">
        <x:f>IF(B235="","",IF(ISNUMBER(F235),"OK","Cần kiểm tra"))</x:f>
        <x:v>OK</x:v>
      </x:c>
    </x:row>
    <x:row r="236" ht="21" customHeight="1">
      <x:c r="A236" s="24" t="str">
        <x:v>FM-2026-0235</x:v>
      </x:c>
      <x:c r="B236" s="24" t="str">
        <x:v>HN_NT</x:v>
      </x:c>
      <x:c r="C236" s="21" t="str">
        <x:v>Võ Hà 235</x:v>
      </x:c>
      <x:c r="D236" s="21" t="str">
        <x:v>Hà Nội nội thành</x:v>
      </x:c>
      <x:c r="E236" s="25" t="n">
        <x:v>9</x:v>
      </x:c>
      <x:c r="F236" s="26" t="n">
        <x:f>IF(B236="","",IFERROR(VLOOKUP(TRIM(B236),'Giá cước'!$A$2:$D$7,4,FALSE),"Không tìm thấy mã cước"))</x:f>
        <x:v>12000</x:v>
      </x:c>
      <x:c r="G236" s="26" t="n">
        <x:f>IF(OR(B236="",E236=""),"",IFERROR(E236*F236,""))</x:f>
        <x:v>108000</x:v>
      </x:c>
      <x:c r="H236" s="24" t="str">
        <x:f>IF(B236="","",IF(ISNUMBER(F236),"OK","Cần kiểm tra"))</x:f>
        <x:v>OK</x:v>
      </x:c>
    </x:row>
    <x:row r="237" ht="21" customHeight="1">
      <x:c r="A237" s="24" t="str">
        <x:v>FM-2026-0236</x:v>
      </x:c>
      <x:c r="B237" s="24" t="str">
        <x:v>HN_LT</x:v>
      </x:c>
      <x:c r="C237" s="21" t="str">
        <x:v>Đỗ Khang 236</x:v>
      </x:c>
      <x:c r="D237" s="21" t="str">
        <x:v>Hà Nội liên tỉnh</x:v>
      </x:c>
      <x:c r="E237" s="25" t="n">
        <x:v>9.7</x:v>
      </x:c>
      <x:c r="F237" s="26" t="n">
        <x:f>IF(B237="","",IFERROR(VLOOKUP(TRIM(B237),'Giá cước'!$A$2:$D$7,4,FALSE),"Không tìm thấy mã cước"))</x:f>
        <x:v>18000</x:v>
      </x:c>
      <x:c r="G237" s="26" t="n">
        <x:f>IF(OR(B237="",E237=""),"",IFERROR(E237*F237,""))</x:f>
        <x:v>174600</x:v>
      </x:c>
      <x:c r="H237" s="24" t="str">
        <x:f>IF(B237="","",IF(ISNUMBER(F237),"OK","Cần kiểm tra"))</x:f>
        <x:v>OK</x:v>
      </x:c>
    </x:row>
    <x:row r="238" ht="21" customHeight="1">
      <x:c r="A238" s="24" t="str">
        <x:v>FM-2026-0237</x:v>
      </x:c>
      <x:c r="B238" s="24" t="str">
        <x:v>HCM_NT</x:v>
      </x:c>
      <x:c r="C238" s="21" t="str">
        <x:v>Bùi Lan 237</x:v>
      </x:c>
      <x:c r="D238" s="21" t="str">
        <x:v>TP. Hồ Chí Minh nội thành</x:v>
      </x:c>
      <x:c r="E238" s="25" t="n">
        <x:v>10.4</x:v>
      </x:c>
      <x:c r="F238" s="26" t="n">
        <x:f>IF(B238="","",IFERROR(VLOOKUP(TRIM(B238),'Giá cước'!$A$2:$D$7,4,FALSE),"Không tìm thấy mã cước"))</x:f>
        <x:v>13000</x:v>
      </x:c>
      <x:c r="G238" s="26" t="n">
        <x:f>IF(OR(B238="",E238=""),"",IFERROR(E238*F238,""))</x:f>
        <x:v>135200</x:v>
      </x:c>
      <x:c r="H238" s="24" t="str">
        <x:f>IF(B238="","",IF(ISNUMBER(F238),"OK","Cần kiểm tra"))</x:f>
        <x:v>OK</x:v>
      </x:c>
    </x:row>
    <x:row r="239" ht="21" customHeight="1">
      <x:c r="A239" s="24" t="str">
        <x:v>FM-2026-0238</x:v>
      </x:c>
      <x:c r="B239" s="24" t="str">
        <x:v>HCM_LT</x:v>
      </x:c>
      <x:c r="C239" s="21" t="str">
        <x:v>Hoàng Minh 238</x:v>
      </x:c>
      <x:c r="D239" s="21" t="str">
        <x:v>TP. Hồ Chí Minh liên tỉnh</x:v>
      </x:c>
      <x:c r="E239" s="25" t="n">
        <x:v>11.1</x:v>
      </x:c>
      <x:c r="F239" s="26" t="n">
        <x:f>IF(B239="","",IFERROR(VLOOKUP(TRIM(B239),'Giá cước'!$A$2:$D$7,4,FALSE),"Không tìm thấy mã cước"))</x:f>
        <x:v>19500</x:v>
      </x:c>
      <x:c r="G239" s="26" t="n">
        <x:f>IF(OR(B239="",E239=""),"",IFERROR(E239*F239,""))</x:f>
        <x:v>216450</x:v>
      </x:c>
      <x:c r="H239" s="24" t="str">
        <x:f>IF(B239="","",IF(ISNUMBER(F239),"OK","Cần kiểm tra"))</x:f>
        <x:v>OK</x:v>
      </x:c>
    </x:row>
    <x:row r="240" ht="21" customHeight="1">
      <x:c r="A240" s="24" t="str">
        <x:v>FM-2026-0239</x:v>
      </x:c>
      <x:c r="B240" s="24" t="str">
        <x:v>MIEN_TAY</x:v>
      </x:c>
      <x:c r="C240" s="21" t="str">
        <x:v>Phan Ngọc 239</x:v>
      </x:c>
      <x:c r="D240" s="21" t="str">
        <x:v>Miền Tây</x:v>
      </x:c>
      <x:c r="E240" s="25" t="n">
        <x:v>11.8</x:v>
      </x:c>
      <x:c r="F240" s="26" t="n">
        <x:f>IF(B240="","",IFERROR(VLOOKUP(TRIM(B240),'Giá cước'!$A$2:$D$7,4,FALSE),"Không tìm thấy mã cước"))</x:f>
        <x:v>22000</x:v>
      </x:c>
      <x:c r="G240" s="26" t="n">
        <x:f>IF(OR(B240="",E240=""),"",IFERROR(E240*F240,""))</x:f>
        <x:v>259600.00000000003</x:v>
      </x:c>
      <x:c r="H240" s="24" t="str">
        <x:f>IF(B240="","",IF(ISNUMBER(F240),"OK","Cần kiểm tra"))</x:f>
        <x:v>OK</x:v>
      </x:c>
    </x:row>
    <x:row r="241" ht="21" customHeight="1">
      <x:c r="A241" s="24" t="str">
        <x:v>FM-2026-0240</x:v>
      </x:c>
      <x:c r="B241" s="24" t="str">
        <x:v>MIEN_NUI</x:v>
      </x:c>
      <x:c r="C241" s="21" t="str">
        <x:v>Đặng Quân 240</x:v>
      </x:c>
      <x:c r="D241" s="21" t="str">
        <x:v>Miền núi</x:v>
      </x:c>
      <x:c r="E241" s="25" t="n">
        <x:v>0.5</x:v>
      </x:c>
      <x:c r="F241" s="26" t="n">
        <x:f>IF(B241="","",IFERROR(VLOOKUP(TRIM(B241),'Giá cước'!$A$2:$D$7,4,FALSE),"Không tìm thấy mã cước"))</x:f>
        <x:v>27000</x:v>
      </x:c>
      <x:c r="G241" s="26" t="n">
        <x:f>IF(OR(B241="",E241=""),"",IFERROR(E241*F241,""))</x:f>
        <x:v>13500</x:v>
      </x:c>
      <x:c r="H241" s="24" t="str">
        <x:f>IF(B241="","",IF(ISNUMBER(F241),"OK","Cần kiểm tra"))</x:f>
        <x:v>OK</x:v>
      </x:c>
    </x:row>
    <x:row r="242" ht="21" customHeight="1">
      <x:c r="A242" s="24" t="str">
        <x:v>FM-2026-0241</x:v>
      </x:c>
      <x:c r="B242" s="24" t="str">
        <x:v>HN_NT</x:v>
      </x:c>
      <x:c r="C242" s="21" t="str">
        <x:v>Nguyễn An 241</x:v>
      </x:c>
      <x:c r="D242" s="21" t="str">
        <x:v>Hà Nội nội thành</x:v>
      </x:c>
      <x:c r="E242" s="25" t="n">
        <x:v>1.2</x:v>
      </x:c>
      <x:c r="F242" s="26" t="n">
        <x:f>IF(B242="","",IFERROR(VLOOKUP(TRIM(B242),'Giá cước'!$A$2:$D$7,4,FALSE),"Không tìm thấy mã cước"))</x:f>
        <x:v>12000</x:v>
      </x:c>
      <x:c r="G242" s="26" t="n">
        <x:f>IF(OR(B242="",E242=""),"",IFERROR(E242*F242,""))</x:f>
        <x:v>14400</x:v>
      </x:c>
      <x:c r="H242" s="24" t="str">
        <x:f>IF(B242="","",IF(ISNUMBER(F242),"OK","Cần kiểm tra"))</x:f>
        <x:v>OK</x:v>
      </x:c>
    </x:row>
    <x:row r="243" ht="21" customHeight="1">
      <x:c r="A243" s="24" t="str">
        <x:v>FM-2026-0242</x:v>
      </x:c>
      <x:c r="B243" s="24" t="str">
        <x:v>HN_LT</x:v>
      </x:c>
      <x:c r="C243" s="21" t="str">
        <x:v>Trần Bình 242</x:v>
      </x:c>
      <x:c r="D243" s="21" t="str">
        <x:v>Hà Nội liên tỉnh</x:v>
      </x:c>
      <x:c r="E243" s="25" t="n">
        <x:v>1.9</x:v>
      </x:c>
      <x:c r="F243" s="26" t="n">
        <x:f>IF(B243="","",IFERROR(VLOOKUP(TRIM(B243),'Giá cước'!$A$2:$D$7,4,FALSE),"Không tìm thấy mã cước"))</x:f>
        <x:v>18000</x:v>
      </x:c>
      <x:c r="G243" s="26" t="n">
        <x:f>IF(OR(B243="",E243=""),"",IFERROR(E243*F243,""))</x:f>
        <x:v>34200</x:v>
      </x:c>
      <x:c r="H243" s="24" t="str">
        <x:f>IF(B243="","",IF(ISNUMBER(F243),"OK","Cần kiểm tra"))</x:f>
        <x:v>OK</x:v>
      </x:c>
    </x:row>
    <x:row r="244" ht="21" customHeight="1">
      <x:c r="A244" s="24" t="str">
        <x:v>FM-2026-0243</x:v>
      </x:c>
      <x:c r="B244" s="24" t="str">
        <x:v>HCM_NT</x:v>
      </x:c>
      <x:c r="C244" s="21" t="str">
        <x:v>Lê Chi 243</x:v>
      </x:c>
      <x:c r="D244" s="21" t="str">
        <x:v>TP. Hồ Chí Minh nội thành</x:v>
      </x:c>
      <x:c r="E244" s="25" t="n">
        <x:v>2.6</x:v>
      </x:c>
      <x:c r="F244" s="26" t="n">
        <x:f>IF(B244="","",IFERROR(VLOOKUP(TRIM(B244),'Giá cước'!$A$2:$D$7,4,FALSE),"Không tìm thấy mã cước"))</x:f>
        <x:v>13000</x:v>
      </x:c>
      <x:c r="G244" s="26" t="n">
        <x:f>IF(OR(B244="",E244=""),"",IFERROR(E244*F244,""))</x:f>
        <x:v>33800</x:v>
      </x:c>
      <x:c r="H244" s="24" t="str">
        <x:f>IF(B244="","",IF(ISNUMBER(F244),"OK","Cần kiểm tra"))</x:f>
        <x:v>OK</x:v>
      </x:c>
    </x:row>
    <x:row r="245" ht="21" customHeight="1">
      <x:c r="A245" s="24" t="str">
        <x:v>FM-2026-0244</x:v>
      </x:c>
      <x:c r="B245" s="24" t="str">
        <x:v>HCM_LT</x:v>
      </x:c>
      <x:c r="C245" s="21" t="str">
        <x:v>Phạm Duy 244</x:v>
      </x:c>
      <x:c r="D245" s="21" t="str">
        <x:v>TP. Hồ Chí Minh liên tỉnh</x:v>
      </x:c>
      <x:c r="E245" s="25" t="n">
        <x:v>3.3</x:v>
      </x:c>
      <x:c r="F245" s="26" t="n">
        <x:f>IF(B245="","",IFERROR(VLOOKUP(TRIM(B245),'Giá cước'!$A$2:$D$7,4,FALSE),"Không tìm thấy mã cước"))</x:f>
        <x:v>19500</x:v>
      </x:c>
      <x:c r="G245" s="26" t="n">
        <x:f>IF(OR(B245="",E245=""),"",IFERROR(E245*F245,""))</x:f>
        <x:v>64350</x:v>
      </x:c>
      <x:c r="H245" s="24" t="str">
        <x:f>IF(B245="","",IF(ISNUMBER(F245),"OK","Cần kiểm tra"))</x:f>
        <x:v>OK</x:v>
      </x:c>
    </x:row>
    <x:row r="246" ht="21" customHeight="1">
      <x:c r="A246" s="24" t="str">
        <x:v>FM-2026-0245</x:v>
      </x:c>
      <x:c r="B246" s="24" t="str">
        <x:v>MIEN_TAY</x:v>
      </x:c>
      <x:c r="C246" s="21" t="str">
        <x:v>Võ Hà 245</x:v>
      </x:c>
      <x:c r="D246" s="21" t="str">
        <x:v>Miền Tây</x:v>
      </x:c>
      <x:c r="E246" s="25" t="n">
        <x:v>4</x:v>
      </x:c>
      <x:c r="F246" s="26" t="n">
        <x:f>IF(B246="","",IFERROR(VLOOKUP(TRIM(B246),'Giá cước'!$A$2:$D$7,4,FALSE),"Không tìm thấy mã cước"))</x:f>
        <x:v>22000</x:v>
      </x:c>
      <x:c r="G246" s="26" t="n">
        <x:f>IF(OR(B246="",E246=""),"",IFERROR(E246*F246,""))</x:f>
        <x:v>88000</x:v>
      </x:c>
      <x:c r="H246" s="24" t="str">
        <x:f>IF(B246="","",IF(ISNUMBER(F246),"OK","Cần kiểm tra"))</x:f>
        <x:v>OK</x:v>
      </x:c>
    </x:row>
    <x:row r="247" ht="21" customHeight="1">
      <x:c r="A247" s="24" t="str">
        <x:v>FM-2026-0246</x:v>
      </x:c>
      <x:c r="B247" s="24" t="str">
        <x:v>MIEN_NUI</x:v>
      </x:c>
      <x:c r="C247" s="21" t="str">
        <x:v>Đỗ Khang 246</x:v>
      </x:c>
      <x:c r="D247" s="21" t="str">
        <x:v>Miền núi</x:v>
      </x:c>
      <x:c r="E247" s="25" t="n">
        <x:v>4.7</x:v>
      </x:c>
      <x:c r="F247" s="26" t="n">
        <x:f>IF(B247="","",IFERROR(VLOOKUP(TRIM(B247),'Giá cước'!$A$2:$D$7,4,FALSE),"Không tìm thấy mã cước"))</x:f>
        <x:v>27000</x:v>
      </x:c>
      <x:c r="G247" s="26" t="n">
        <x:f>IF(OR(B247="",E247=""),"",IFERROR(E247*F247,""))</x:f>
        <x:v>126900</x:v>
      </x:c>
      <x:c r="H247" s="24" t="str">
        <x:f>IF(B247="","",IF(ISNUMBER(F247),"OK","Cần kiểm tra"))</x:f>
        <x:v>OK</x:v>
      </x:c>
    </x:row>
    <x:row r="248" ht="21" customHeight="1">
      <x:c r="A248" s="24" t="str">
        <x:v>FM-2026-0247</x:v>
      </x:c>
      <x:c r="B248" s="24" t="str">
        <x:v>HN_NT</x:v>
      </x:c>
      <x:c r="C248" s="21" t="str">
        <x:v>Bùi Lan 247</x:v>
      </x:c>
      <x:c r="D248" s="21" t="str">
        <x:v>Hà Nội nội thành</x:v>
      </x:c>
      <x:c r="E248" s="25" t="n">
        <x:v>5.4</x:v>
      </x:c>
      <x:c r="F248" s="26" t="n">
        <x:f>IF(B248="","",IFERROR(VLOOKUP(TRIM(B248),'Giá cước'!$A$2:$D$7,4,FALSE),"Không tìm thấy mã cước"))</x:f>
        <x:v>12000</x:v>
      </x:c>
      <x:c r="G248" s="26" t="n">
        <x:f>IF(OR(B248="",E248=""),"",IFERROR(E248*F248,""))</x:f>
        <x:v>64800.00000000001</x:v>
      </x:c>
      <x:c r="H248" s="24" t="str">
        <x:f>IF(B248="","",IF(ISNUMBER(F248),"OK","Cần kiểm tra"))</x:f>
        <x:v>OK</x:v>
      </x:c>
    </x:row>
    <x:row r="249" ht="21" customHeight="1">
      <x:c r="A249" s="24" t="str">
        <x:v>FM-2026-0248</x:v>
      </x:c>
      <x:c r="B249" s="24" t="str">
        <x:v>HN_LT</x:v>
      </x:c>
      <x:c r="C249" s="21" t="str">
        <x:v>Hoàng Minh 248</x:v>
      </x:c>
      <x:c r="D249" s="21" t="str">
        <x:v>Hà Nội liên tỉnh</x:v>
      </x:c>
      <x:c r="E249" s="25" t="n">
        <x:v>6.1</x:v>
      </x:c>
      <x:c r="F249" s="26" t="n">
        <x:f>IF(B249="","",IFERROR(VLOOKUP(TRIM(B249),'Giá cước'!$A$2:$D$7,4,FALSE),"Không tìm thấy mã cước"))</x:f>
        <x:v>18000</x:v>
      </x:c>
      <x:c r="G249" s="26" t="n">
        <x:f>IF(OR(B249="",E249=""),"",IFERROR(E249*F249,""))</x:f>
        <x:v>109800</x:v>
      </x:c>
      <x:c r="H249" s="24" t="str">
        <x:f>IF(B249="","",IF(ISNUMBER(F249),"OK","Cần kiểm tra"))</x:f>
        <x:v>OK</x:v>
      </x:c>
    </x:row>
    <x:row r="250" ht="21" customHeight="1">
      <x:c r="A250" s="24" t="str">
        <x:v>FM-2026-0249</x:v>
      </x:c>
      <x:c r="B250" s="24" t="str">
        <x:v>HCM_NT</x:v>
      </x:c>
      <x:c r="C250" s="21" t="str">
        <x:v>Phan Ngọc 249</x:v>
      </x:c>
      <x:c r="D250" s="21" t="str">
        <x:v>TP. Hồ Chí Minh nội thành</x:v>
      </x:c>
      <x:c r="E250" s="25" t="n">
        <x:v>6.8</x:v>
      </x:c>
      <x:c r="F250" s="26" t="n">
        <x:f>IF(B250="","",IFERROR(VLOOKUP(TRIM(B250),'Giá cước'!$A$2:$D$7,4,FALSE),"Không tìm thấy mã cước"))</x:f>
        <x:v>13000</x:v>
      </x:c>
      <x:c r="G250" s="26" t="n">
        <x:f>IF(OR(B250="",E250=""),"",IFERROR(E250*F250,""))</x:f>
        <x:v>88400</x:v>
      </x:c>
      <x:c r="H250" s="24" t="str">
        <x:f>IF(B250="","",IF(ISNUMBER(F250),"OK","Cần kiểm tra"))</x:f>
        <x:v>OK</x:v>
      </x:c>
    </x:row>
    <x:row r="251" ht="21" customHeight="1">
      <x:c r="A251" s="24" t="str">
        <x:v>FM-2026-0250</x:v>
      </x:c>
      <x:c r="B251" s="24" t="str">
        <x:v>HCM_LT</x:v>
      </x:c>
      <x:c r="C251" s="21" t="str">
        <x:v>Đặng Quân 250</x:v>
      </x:c>
      <x:c r="D251" s="21" t="str">
        <x:v>TP. Hồ Chí Minh liên tỉnh</x:v>
      </x:c>
      <x:c r="E251" s="25" t="n">
        <x:v>7.5</x:v>
      </x:c>
      <x:c r="F251" s="26" t="n">
        <x:f>IF(B251="","",IFERROR(VLOOKUP(TRIM(B251),'Giá cước'!$A$2:$D$7,4,FALSE),"Không tìm thấy mã cước"))</x:f>
        <x:v>19500</x:v>
      </x:c>
      <x:c r="G251" s="26" t="n">
        <x:f>IF(OR(B251="",E251=""),"",IFERROR(E251*F251,""))</x:f>
        <x:v>146250</x:v>
      </x:c>
      <x:c r="H251" s="24" t="str">
        <x:f>IF(B251="","",IF(ISNUMBER(F251),"OK","Cần kiểm tra"))</x:f>
        <x:v>OK</x:v>
      </x:c>
    </x:row>
    <x:row r="252" ht="21" customHeight="1">
      <x:c r="A252" s="24" t="str">
        <x:v>FM-2026-0251</x:v>
      </x:c>
      <x:c r="B252" s="24" t="str">
        <x:v>MIEN_TAY</x:v>
      </x:c>
      <x:c r="C252" s="21" t="str">
        <x:v>Nguyễn An 251</x:v>
      </x:c>
      <x:c r="D252" s="21" t="str">
        <x:v>Miền Tây</x:v>
      </x:c>
      <x:c r="E252" s="25" t="n">
        <x:v>8.2</x:v>
      </x:c>
      <x:c r="F252" s="26" t="n">
        <x:f>IF(B252="","",IFERROR(VLOOKUP(TRIM(B252),'Giá cước'!$A$2:$D$7,4,FALSE),"Không tìm thấy mã cước"))</x:f>
        <x:v>22000</x:v>
      </x:c>
      <x:c r="G252" s="26" t="n">
        <x:f>IF(OR(B252="",E252=""),"",IFERROR(E252*F252,""))</x:f>
        <x:v>180399.99999999997</x:v>
      </x:c>
      <x:c r="H252" s="24" t="str">
        <x:f>IF(B252="","",IF(ISNUMBER(F252),"OK","Cần kiểm tra"))</x:f>
        <x:v>OK</x:v>
      </x:c>
    </x:row>
    <x:row r="253" ht="21" customHeight="1">
      <x:c r="A253" s="24" t="str">
        <x:v>FM-2026-0252</x:v>
      </x:c>
      <x:c r="B253" s="24" t="str">
        <x:v>MIEN_NUI</x:v>
      </x:c>
      <x:c r="C253" s="21" t="str">
        <x:v>Trần Bình 252</x:v>
      </x:c>
      <x:c r="D253" s="21" t="str">
        <x:v>Miền núi</x:v>
      </x:c>
      <x:c r="E253" s="25" t="n">
        <x:v>8.9</x:v>
      </x:c>
      <x:c r="F253" s="26" t="n">
        <x:f>IF(B253="","",IFERROR(VLOOKUP(TRIM(B253),'Giá cước'!$A$2:$D$7,4,FALSE),"Không tìm thấy mã cước"))</x:f>
        <x:v>27000</x:v>
      </x:c>
      <x:c r="G253" s="26" t="n">
        <x:f>IF(OR(B253="",E253=""),"",IFERROR(E253*F253,""))</x:f>
        <x:v>240300</x:v>
      </x:c>
      <x:c r="H253" s="24" t="str">
        <x:f>IF(B253="","",IF(ISNUMBER(F253),"OK","Cần kiểm tra"))</x:f>
        <x:v>OK</x:v>
      </x:c>
    </x:row>
    <x:row r="254" ht="21" customHeight="1">
      <x:c r="A254" s="24" t="str">
        <x:v>FM-2026-0253</x:v>
      </x:c>
      <x:c r="B254" s="24" t="str">
        <x:v>HN_NT</x:v>
      </x:c>
      <x:c r="C254" s="21" t="str">
        <x:v>Lê Chi 253</x:v>
      </x:c>
      <x:c r="D254" s="21" t="str">
        <x:v>Hà Nội nội thành</x:v>
      </x:c>
      <x:c r="E254" s="25" t="n">
        <x:v>9.6</x:v>
      </x:c>
      <x:c r="F254" s="26" t="n">
        <x:f>IF(B254="","",IFERROR(VLOOKUP(TRIM(B254),'Giá cước'!$A$2:$D$7,4,FALSE),"Không tìm thấy mã cước"))</x:f>
        <x:v>12000</x:v>
      </x:c>
      <x:c r="G254" s="26" t="n">
        <x:f>IF(OR(B254="",E254=""),"",IFERROR(E254*F254,""))</x:f>
        <x:v>115200</x:v>
      </x:c>
      <x:c r="H254" s="24" t="str">
        <x:f>IF(B254="","",IF(ISNUMBER(F254),"OK","Cần kiểm tra"))</x:f>
        <x:v>OK</x:v>
      </x:c>
    </x:row>
    <x:row r="255" ht="21" customHeight="1">
      <x:c r="A255" s="24" t="str">
        <x:v>FM-2026-0254</x:v>
      </x:c>
      <x:c r="B255" s="24" t="str">
        <x:v>HN_LT</x:v>
      </x:c>
      <x:c r="C255" s="21" t="str">
        <x:v>Phạm Duy 254</x:v>
      </x:c>
      <x:c r="D255" s="21" t="str">
        <x:v>Hà Nội liên tỉnh</x:v>
      </x:c>
      <x:c r="E255" s="25" t="n">
        <x:v>10.3</x:v>
      </x:c>
      <x:c r="F255" s="26" t="n">
        <x:f>IF(B255="","",IFERROR(VLOOKUP(TRIM(B255),'Giá cước'!$A$2:$D$7,4,FALSE),"Không tìm thấy mã cước"))</x:f>
        <x:v>18000</x:v>
      </x:c>
      <x:c r="G255" s="26" t="n">
        <x:f>IF(OR(B255="",E255=""),"",IFERROR(E255*F255,""))</x:f>
        <x:v>185400</x:v>
      </x:c>
      <x:c r="H255" s="24" t="str">
        <x:f>IF(B255="","",IF(ISNUMBER(F255),"OK","Cần kiểm tra"))</x:f>
        <x:v>OK</x:v>
      </x:c>
    </x:row>
    <x:row r="256" ht="21" customHeight="1">
      <x:c r="A256" s="24" t="str">
        <x:v>FM-2026-0255</x:v>
      </x:c>
      <x:c r="B256" s="24" t="str">
        <x:v>HCM_NT</x:v>
      </x:c>
      <x:c r="C256" s="21" t="str">
        <x:v>Võ Hà 255</x:v>
      </x:c>
      <x:c r="D256" s="21" t="str">
        <x:v>TP. Hồ Chí Minh nội thành</x:v>
      </x:c>
      <x:c r="E256" s="25" t="n">
        <x:v>11</x:v>
      </x:c>
      <x:c r="F256" s="26" t="n">
        <x:f>IF(B256="","",IFERROR(VLOOKUP(TRIM(B256),'Giá cước'!$A$2:$D$7,4,FALSE),"Không tìm thấy mã cước"))</x:f>
        <x:v>13000</x:v>
      </x:c>
      <x:c r="G256" s="26" t="n">
        <x:f>IF(OR(B256="",E256=""),"",IFERROR(E256*F256,""))</x:f>
        <x:v>143000</x:v>
      </x:c>
      <x:c r="H256" s="24" t="str">
        <x:f>IF(B256="","",IF(ISNUMBER(F256),"OK","Cần kiểm tra"))</x:f>
        <x:v>OK</x:v>
      </x:c>
    </x:row>
    <x:row r="257" ht="21" customHeight="1">
      <x:c r="A257" s="24" t="str">
        <x:v>FM-2026-0256</x:v>
      </x:c>
      <x:c r="B257" s="24" t="str">
        <x:v>HCM_LT</x:v>
      </x:c>
      <x:c r="C257" s="21" t="str">
        <x:v>Đỗ Khang 256</x:v>
      </x:c>
      <x:c r="D257" s="21" t="str">
        <x:v>TP. Hồ Chí Minh liên tỉnh</x:v>
      </x:c>
      <x:c r="E257" s="25" t="n">
        <x:v>11.7</x:v>
      </x:c>
      <x:c r="F257" s="26" t="n">
        <x:f>IF(B257="","",IFERROR(VLOOKUP(TRIM(B257),'Giá cước'!$A$2:$D$7,4,FALSE),"Không tìm thấy mã cước"))</x:f>
        <x:v>19500</x:v>
      </x:c>
      <x:c r="G257" s="26" t="n">
        <x:f>IF(OR(B257="",E257=""),"",IFERROR(E257*F257,""))</x:f>
        <x:v>228150</x:v>
      </x:c>
      <x:c r="H257" s="24" t="str">
        <x:f>IF(B257="","",IF(ISNUMBER(F257),"OK","Cần kiểm tra"))</x:f>
        <x:v>OK</x:v>
      </x:c>
    </x:row>
    <x:row r="258" ht="21" customHeight="1">
      <x:c r="A258" s="24" t="str">
        <x:v>FM-2026-0257</x:v>
      </x:c>
      <x:c r="B258" s="24" t="str">
        <x:v>MIEN_TAY</x:v>
      </x:c>
      <x:c r="C258" s="21" t="str">
        <x:v>Bùi Lan 257</x:v>
      </x:c>
      <x:c r="D258" s="21" t="str">
        <x:v>Miền Tây</x:v>
      </x:c>
      <x:c r="E258" s="25" t="n">
        <x:v>12.4</x:v>
      </x:c>
      <x:c r="F258" s="26" t="n">
        <x:f>IF(B258="","",IFERROR(VLOOKUP(TRIM(B258),'Giá cước'!$A$2:$D$7,4,FALSE),"Không tìm thấy mã cước"))</x:f>
        <x:v>22000</x:v>
      </x:c>
      <x:c r="G258" s="26" t="n">
        <x:f>IF(OR(B258="",E258=""),"",IFERROR(E258*F258,""))</x:f>
        <x:v>272800</x:v>
      </x:c>
      <x:c r="H258" s="24" t="str">
        <x:f>IF(B258="","",IF(ISNUMBER(F258),"OK","Cần kiểm tra"))</x:f>
        <x:v>OK</x:v>
      </x:c>
    </x:row>
    <x:row r="259" ht="21" customHeight="1">
      <x:c r="A259" s="24" t="str">
        <x:v>FM-2026-0258</x:v>
      </x:c>
      <x:c r="B259" s="24" t="str">
        <x:v>MIEN_NUI</x:v>
      </x:c>
      <x:c r="C259" s="21" t="str">
        <x:v>Hoàng Minh 258</x:v>
      </x:c>
      <x:c r="D259" s="21" t="str">
        <x:v>Miền núi</x:v>
      </x:c>
      <x:c r="E259" s="25" t="n">
        <x:v>1.1</x:v>
      </x:c>
      <x:c r="F259" s="26" t="n">
        <x:f>IF(B259="","",IFERROR(VLOOKUP(TRIM(B259),'Giá cước'!$A$2:$D$7,4,FALSE),"Không tìm thấy mã cước"))</x:f>
        <x:v>27000</x:v>
      </x:c>
      <x:c r="G259" s="26" t="n">
        <x:f>IF(OR(B259="",E259=""),"",IFERROR(E259*F259,""))</x:f>
        <x:v>29700.000000000004</x:v>
      </x:c>
      <x:c r="H259" s="24" t="str">
        <x:f>IF(B259="","",IF(ISNUMBER(F259),"OK","Cần kiểm tra"))</x:f>
        <x:v>OK</x:v>
      </x:c>
    </x:row>
    <x:row r="260" ht="21" customHeight="1">
      <x:c r="A260" s="24" t="str">
        <x:v>FM-2026-0259</x:v>
      </x:c>
      <x:c r="B260" s="24" t="str">
        <x:v>HN_NT</x:v>
      </x:c>
      <x:c r="C260" s="21" t="str">
        <x:v>Phan Ngọc 259</x:v>
      </x:c>
      <x:c r="D260" s="21" t="str">
        <x:v>Hà Nội nội thành</x:v>
      </x:c>
      <x:c r="E260" s="25" t="n">
        <x:v>1.8</x:v>
      </x:c>
      <x:c r="F260" s="26" t="n">
        <x:f>IF(B260="","",IFERROR(VLOOKUP(TRIM(B260),'Giá cước'!$A$2:$D$7,4,FALSE),"Không tìm thấy mã cước"))</x:f>
        <x:v>12000</x:v>
      </x:c>
      <x:c r="G260" s="26" t="n">
        <x:f>IF(OR(B260="",E260=""),"",IFERROR(E260*F260,""))</x:f>
        <x:v>21600</x:v>
      </x:c>
      <x:c r="H260" s="24" t="str">
        <x:f>IF(B260="","",IF(ISNUMBER(F260),"OK","Cần kiểm tra"))</x:f>
        <x:v>OK</x:v>
      </x:c>
    </x:row>
    <x:row r="261" ht="21" customHeight="1">
      <x:c r="A261" s="24" t="str">
        <x:v>FM-2026-0260</x:v>
      </x:c>
      <x:c r="B261" s="24" t="str">
        <x:v>HN_LT</x:v>
      </x:c>
      <x:c r="C261" s="21" t="str">
        <x:v>Đặng Quân 260</x:v>
      </x:c>
      <x:c r="D261" s="21" t="str">
        <x:v>Hà Nội liên tỉnh</x:v>
      </x:c>
      <x:c r="E261" s="25" t="n">
        <x:v>2.5</x:v>
      </x:c>
      <x:c r="F261" s="26" t="n">
        <x:f>IF(B261="","",IFERROR(VLOOKUP(TRIM(B261),'Giá cước'!$A$2:$D$7,4,FALSE),"Không tìm thấy mã cước"))</x:f>
        <x:v>18000</x:v>
      </x:c>
      <x:c r="G261" s="26" t="n">
        <x:f>IF(OR(B261="",E261=""),"",IFERROR(E261*F261,""))</x:f>
        <x:v>45000</x:v>
      </x:c>
      <x:c r="H261" s="24" t="str">
        <x:f>IF(B261="","",IF(ISNUMBER(F261),"OK","Cần kiểm tra"))</x:f>
        <x:v>OK</x:v>
      </x:c>
    </x:row>
    <x:row r="262" ht="21" customHeight="1">
      <x:c r="A262" s="24" t="str">
        <x:v>FM-2026-0261</x:v>
      </x:c>
      <x:c r="B262" s="24" t="str">
        <x:v>HCM_NT</x:v>
      </x:c>
      <x:c r="C262" s="21" t="str">
        <x:v>Nguyễn An 261</x:v>
      </x:c>
      <x:c r="D262" s="21" t="str">
        <x:v>TP. Hồ Chí Minh nội thành</x:v>
      </x:c>
      <x:c r="E262" s="25" t="n">
        <x:v>3.2</x:v>
      </x:c>
      <x:c r="F262" s="26" t="n">
        <x:f>IF(B262="","",IFERROR(VLOOKUP(TRIM(B262),'Giá cước'!$A$2:$D$7,4,FALSE),"Không tìm thấy mã cước"))</x:f>
        <x:v>13000</x:v>
      </x:c>
      <x:c r="G262" s="26" t="n">
        <x:f>IF(OR(B262="",E262=""),"",IFERROR(E262*F262,""))</x:f>
        <x:v>41600</x:v>
      </x:c>
      <x:c r="H262" s="24" t="str">
        <x:f>IF(B262="","",IF(ISNUMBER(F262),"OK","Cần kiểm tra"))</x:f>
        <x:v>OK</x:v>
      </x:c>
    </x:row>
    <x:row r="263" ht="21" customHeight="1">
      <x:c r="A263" s="24" t="str">
        <x:v>FM-2026-0262</x:v>
      </x:c>
      <x:c r="B263" s="24" t="str">
        <x:v>HCM_LT</x:v>
      </x:c>
      <x:c r="C263" s="21" t="str">
        <x:v>Trần Bình 262</x:v>
      </x:c>
      <x:c r="D263" s="21" t="str">
        <x:v>TP. Hồ Chí Minh liên tỉnh</x:v>
      </x:c>
      <x:c r="E263" s="25" t="n">
        <x:v>3.9</x:v>
      </x:c>
      <x:c r="F263" s="26" t="n">
        <x:f>IF(B263="","",IFERROR(VLOOKUP(TRIM(B263),'Giá cước'!$A$2:$D$7,4,FALSE),"Không tìm thấy mã cước"))</x:f>
        <x:v>19500</x:v>
      </x:c>
      <x:c r="G263" s="26" t="n">
        <x:f>IF(OR(B263="",E263=""),"",IFERROR(E263*F263,""))</x:f>
        <x:v>76050</x:v>
      </x:c>
      <x:c r="H263" s="24" t="str">
        <x:f>IF(B263="","",IF(ISNUMBER(F263),"OK","Cần kiểm tra"))</x:f>
        <x:v>OK</x:v>
      </x:c>
    </x:row>
    <x:row r="264" ht="21" customHeight="1">
      <x:c r="A264" s="24" t="str">
        <x:v>FM-2026-0263</x:v>
      </x:c>
      <x:c r="B264" s="24" t="str">
        <x:v>MIEN_TAY</x:v>
      </x:c>
      <x:c r="C264" s="21" t="str">
        <x:v>Lê Chi 263</x:v>
      </x:c>
      <x:c r="D264" s="21" t="str">
        <x:v>Miền Tây</x:v>
      </x:c>
      <x:c r="E264" s="25" t="n">
        <x:v>4.6</x:v>
      </x:c>
      <x:c r="F264" s="26" t="n">
        <x:f>IF(B264="","",IFERROR(VLOOKUP(TRIM(B264),'Giá cước'!$A$2:$D$7,4,FALSE),"Không tìm thấy mã cước"))</x:f>
        <x:v>22000</x:v>
      </x:c>
      <x:c r="G264" s="26" t="n">
        <x:f>IF(OR(B264="",E264=""),"",IFERROR(E264*F264,""))</x:f>
        <x:v>101199.99999999999</x:v>
      </x:c>
      <x:c r="H264" s="24" t="str">
        <x:f>IF(B264="","",IF(ISNUMBER(F264),"OK","Cần kiểm tra"))</x:f>
        <x:v>OK</x:v>
      </x:c>
    </x:row>
    <x:row r="265" ht="21" customHeight="1">
      <x:c r="A265" s="24" t="str">
        <x:v>FM-2026-0264</x:v>
      </x:c>
      <x:c r="B265" s="24" t="str">
        <x:v>MIEN_NUI</x:v>
      </x:c>
      <x:c r="C265" s="21" t="str">
        <x:v>Phạm Duy 264</x:v>
      </x:c>
      <x:c r="D265" s="21" t="str">
        <x:v>Miền núi</x:v>
      </x:c>
      <x:c r="E265" s="25" t="n">
        <x:v>5.3</x:v>
      </x:c>
      <x:c r="F265" s="26" t="n">
        <x:f>IF(B265="","",IFERROR(VLOOKUP(TRIM(B265),'Giá cước'!$A$2:$D$7,4,FALSE),"Không tìm thấy mã cước"))</x:f>
        <x:v>27000</x:v>
      </x:c>
      <x:c r="G265" s="26" t="n">
        <x:f>IF(OR(B265="",E265=""),"",IFERROR(E265*F265,""))</x:f>
        <x:v>143100</x:v>
      </x:c>
      <x:c r="H265" s="24" t="str">
        <x:f>IF(B265="","",IF(ISNUMBER(F265),"OK","Cần kiểm tra"))</x:f>
        <x:v>OK</x:v>
      </x:c>
    </x:row>
    <x:row r="266" ht="21" customHeight="1">
      <x:c r="A266" s="24" t="str">
        <x:v>FM-2026-0265</x:v>
      </x:c>
      <x:c r="B266" s="24" t="str">
        <x:v>HN_NT</x:v>
      </x:c>
      <x:c r="C266" s="21" t="str">
        <x:v>Võ Hà 265</x:v>
      </x:c>
      <x:c r="D266" s="21" t="str">
        <x:v>Hà Nội nội thành</x:v>
      </x:c>
      <x:c r="E266" s="25" t="n">
        <x:v>6</x:v>
      </x:c>
      <x:c r="F266" s="26" t="n">
        <x:f>IF(B266="","",IFERROR(VLOOKUP(TRIM(B266),'Giá cước'!$A$2:$D$7,4,FALSE),"Không tìm thấy mã cước"))</x:f>
        <x:v>12000</x:v>
      </x:c>
      <x:c r="G266" s="26" t="n">
        <x:f>IF(OR(B266="",E266=""),"",IFERROR(E266*F266,""))</x:f>
        <x:v>72000</x:v>
      </x:c>
      <x:c r="H266" s="24" t="str">
        <x:f>IF(B266="","",IF(ISNUMBER(F266),"OK","Cần kiểm tra"))</x:f>
        <x:v>OK</x:v>
      </x:c>
    </x:row>
    <x:row r="267" ht="21" customHeight="1">
      <x:c r="A267" s="24" t="str">
        <x:v>FM-2026-0266</x:v>
      </x:c>
      <x:c r="B267" s="24" t="str">
        <x:v>HN_LT</x:v>
      </x:c>
      <x:c r="C267" s="21" t="str">
        <x:v>Đỗ Khang 266</x:v>
      </x:c>
      <x:c r="D267" s="21" t="str">
        <x:v>Hà Nội liên tỉnh</x:v>
      </x:c>
      <x:c r="E267" s="25" t="n">
        <x:v>6.7</x:v>
      </x:c>
      <x:c r="F267" s="26" t="n">
        <x:f>IF(B267="","",IFERROR(VLOOKUP(TRIM(B267),'Giá cước'!$A$2:$D$7,4,FALSE),"Không tìm thấy mã cước"))</x:f>
        <x:v>18000</x:v>
      </x:c>
      <x:c r="G267" s="26" t="n">
        <x:f>IF(OR(B267="",E267=""),"",IFERROR(E267*F267,""))</x:f>
        <x:v>120600</x:v>
      </x:c>
      <x:c r="H267" s="24" t="str">
        <x:f>IF(B267="","",IF(ISNUMBER(F267),"OK","Cần kiểm tra"))</x:f>
        <x:v>OK</x:v>
      </x:c>
    </x:row>
    <x:row r="268" ht="21" customHeight="1">
      <x:c r="A268" s="24" t="str">
        <x:v>FM-2026-0267</x:v>
      </x:c>
      <x:c r="B268" s="24" t="str">
        <x:v>HCM_NT</x:v>
      </x:c>
      <x:c r="C268" s="21" t="str">
        <x:v>Bùi Lan 267</x:v>
      </x:c>
      <x:c r="D268" s="21" t="str">
        <x:v>TP. Hồ Chí Minh nội thành</x:v>
      </x:c>
      <x:c r="E268" s="25" t="n">
        <x:v>7.4</x:v>
      </x:c>
      <x:c r="F268" s="26" t="n">
        <x:f>IF(B268="","",IFERROR(VLOOKUP(TRIM(B268),'Giá cước'!$A$2:$D$7,4,FALSE),"Không tìm thấy mã cước"))</x:f>
        <x:v>13000</x:v>
      </x:c>
      <x:c r="G268" s="26" t="n">
        <x:f>IF(OR(B268="",E268=""),"",IFERROR(E268*F268,""))</x:f>
        <x:v>96200</x:v>
      </x:c>
      <x:c r="H268" s="24" t="str">
        <x:f>IF(B268="","",IF(ISNUMBER(F268),"OK","Cần kiểm tra"))</x:f>
        <x:v>OK</x:v>
      </x:c>
    </x:row>
    <x:row r="269" ht="21" customHeight="1">
      <x:c r="A269" s="24" t="str">
        <x:v>FM-2026-0268</x:v>
      </x:c>
      <x:c r="B269" s="24" t="str">
        <x:v>HCM_LT</x:v>
      </x:c>
      <x:c r="C269" s="21" t="str">
        <x:v>Hoàng Minh 268</x:v>
      </x:c>
      <x:c r="D269" s="21" t="str">
        <x:v>TP. Hồ Chí Minh liên tỉnh</x:v>
      </x:c>
      <x:c r="E269" s="25" t="n">
        <x:v>8.1</x:v>
      </x:c>
      <x:c r="F269" s="26" t="n">
        <x:f>IF(B269="","",IFERROR(VLOOKUP(TRIM(B269),'Giá cước'!$A$2:$D$7,4,FALSE),"Không tìm thấy mã cước"))</x:f>
        <x:v>19500</x:v>
      </x:c>
      <x:c r="G269" s="26" t="n">
        <x:f>IF(OR(B269="",E269=""),"",IFERROR(E269*F269,""))</x:f>
        <x:v>157950</x:v>
      </x:c>
      <x:c r="H269" s="24" t="str">
        <x:f>IF(B269="","",IF(ISNUMBER(F269),"OK","Cần kiểm tra"))</x:f>
        <x:v>OK</x:v>
      </x:c>
    </x:row>
    <x:row r="270" ht="21" customHeight="1">
      <x:c r="A270" s="24" t="str">
        <x:v>FM-2026-0269</x:v>
      </x:c>
      <x:c r="B270" s="24" t="str">
        <x:v>MIEN_TAY</x:v>
      </x:c>
      <x:c r="C270" s="21" t="str">
        <x:v>Phan Ngọc 269</x:v>
      </x:c>
      <x:c r="D270" s="21" t="str">
        <x:v>Miền Tây</x:v>
      </x:c>
      <x:c r="E270" s="25" t="n">
        <x:v>8.8</x:v>
      </x:c>
      <x:c r="F270" s="26" t="n">
        <x:f>IF(B270="","",IFERROR(VLOOKUP(TRIM(B270),'Giá cước'!$A$2:$D$7,4,FALSE),"Không tìm thấy mã cước"))</x:f>
        <x:v>22000</x:v>
      </x:c>
      <x:c r="G270" s="26" t="n">
        <x:f>IF(OR(B270="",E270=""),"",IFERROR(E270*F270,""))</x:f>
        <x:v>193600.00000000003</x:v>
      </x:c>
      <x:c r="H270" s="24" t="str">
        <x:f>IF(B270="","",IF(ISNUMBER(F270),"OK","Cần kiểm tra"))</x:f>
        <x:v>OK</x:v>
      </x:c>
    </x:row>
    <x:row r="271" ht="21" customHeight="1">
      <x:c r="A271" s="24" t="str">
        <x:v>FM-2026-0270</x:v>
      </x:c>
      <x:c r="B271" s="24" t="str">
        <x:v>MIEN_NUI</x:v>
      </x:c>
      <x:c r="C271" s="21" t="str">
        <x:v>Đặng Quân 270</x:v>
      </x:c>
      <x:c r="D271" s="21" t="str">
        <x:v>Miền núi</x:v>
      </x:c>
      <x:c r="E271" s="25" t="n">
        <x:v>9.5</x:v>
      </x:c>
      <x:c r="F271" s="26" t="n">
        <x:f>IF(B271="","",IFERROR(VLOOKUP(TRIM(B271),'Giá cước'!$A$2:$D$7,4,FALSE),"Không tìm thấy mã cước"))</x:f>
        <x:v>27000</x:v>
      </x:c>
      <x:c r="G271" s="26" t="n">
        <x:f>IF(OR(B271="",E271=""),"",IFERROR(E271*F271,""))</x:f>
        <x:v>256500</x:v>
      </x:c>
      <x:c r="H271" s="24" t="str">
        <x:f>IF(B271="","",IF(ISNUMBER(F271),"OK","Cần kiểm tra"))</x:f>
        <x:v>OK</x:v>
      </x:c>
    </x:row>
    <x:row r="272" ht="21" customHeight="1">
      <x:c r="A272" s="24" t="str">
        <x:v>FM-2026-0271</x:v>
      </x:c>
      <x:c r="B272" s="24" t="str">
        <x:v>HN_NT</x:v>
      </x:c>
      <x:c r="C272" s="21" t="str">
        <x:v>Nguyễn An 271</x:v>
      </x:c>
      <x:c r="D272" s="21" t="str">
        <x:v>Hà Nội nội thành</x:v>
      </x:c>
      <x:c r="E272" s="25" t="n">
        <x:v>10.2</x:v>
      </x:c>
      <x:c r="F272" s="26" t="n">
        <x:f>IF(B272="","",IFERROR(VLOOKUP(TRIM(B272),'Giá cước'!$A$2:$D$7,4,FALSE),"Không tìm thấy mã cước"))</x:f>
        <x:v>12000</x:v>
      </x:c>
      <x:c r="G272" s="26" t="n">
        <x:f>IF(OR(B272="",E272=""),"",IFERROR(E272*F272,""))</x:f>
        <x:v>122399.99999999999</x:v>
      </x:c>
      <x:c r="H272" s="24" t="str">
        <x:f>IF(B272="","",IF(ISNUMBER(F272),"OK","Cần kiểm tra"))</x:f>
        <x:v>OK</x:v>
      </x:c>
    </x:row>
    <x:row r="273" ht="21" customHeight="1">
      <x:c r="A273" s="24" t="str">
        <x:v>FM-2026-0272</x:v>
      </x:c>
      <x:c r="B273" s="24" t="str">
        <x:v>HN_LT</x:v>
      </x:c>
      <x:c r="C273" s="21" t="str">
        <x:v>Trần Bình 272</x:v>
      </x:c>
      <x:c r="D273" s="21" t="str">
        <x:v>Hà Nội liên tỉnh</x:v>
      </x:c>
      <x:c r="E273" s="25" t="n">
        <x:v>10.9</x:v>
      </x:c>
      <x:c r="F273" s="26" t="n">
        <x:f>IF(B273="","",IFERROR(VLOOKUP(TRIM(B273),'Giá cước'!$A$2:$D$7,4,FALSE),"Không tìm thấy mã cước"))</x:f>
        <x:v>18000</x:v>
      </x:c>
      <x:c r="G273" s="26" t="n">
        <x:f>IF(OR(B273="",E273=""),"",IFERROR(E273*F273,""))</x:f>
        <x:v>196200</x:v>
      </x:c>
      <x:c r="H273" s="24" t="str">
        <x:f>IF(B273="","",IF(ISNUMBER(F273),"OK","Cần kiểm tra"))</x:f>
        <x:v>OK</x:v>
      </x:c>
    </x:row>
    <x:row r="274" ht="21" customHeight="1">
      <x:c r="A274" s="24" t="str">
        <x:v>FM-2026-0273</x:v>
      </x:c>
      <x:c r="B274" s="24" t="str">
        <x:v>HCM_NT</x:v>
      </x:c>
      <x:c r="C274" s="21" t="str">
        <x:v>Lê Chi 273</x:v>
      </x:c>
      <x:c r="D274" s="21" t="str">
        <x:v>TP. Hồ Chí Minh nội thành</x:v>
      </x:c>
      <x:c r="E274" s="25" t="n">
        <x:v>11.6</x:v>
      </x:c>
      <x:c r="F274" s="26" t="n">
        <x:f>IF(B274="","",IFERROR(VLOOKUP(TRIM(B274),'Giá cước'!$A$2:$D$7,4,FALSE),"Không tìm thấy mã cước"))</x:f>
        <x:v>13000</x:v>
      </x:c>
      <x:c r="G274" s="26" t="n">
        <x:f>IF(OR(B274="",E274=""),"",IFERROR(E274*F274,""))</x:f>
        <x:v>150800</x:v>
      </x:c>
      <x:c r="H274" s="24" t="str">
        <x:f>IF(B274="","",IF(ISNUMBER(F274),"OK","Cần kiểm tra"))</x:f>
        <x:v>OK</x:v>
      </x:c>
    </x:row>
    <x:row r="275" ht="21" customHeight="1">
      <x:c r="A275" s="24" t="str">
        <x:v>FM-2026-0274</x:v>
      </x:c>
      <x:c r="B275" s="24" t="str">
        <x:v>HCM_LT</x:v>
      </x:c>
      <x:c r="C275" s="21" t="str">
        <x:v>Phạm Duy 274</x:v>
      </x:c>
      <x:c r="D275" s="21" t="str">
        <x:v>TP. Hồ Chí Minh liên tỉnh</x:v>
      </x:c>
      <x:c r="E275" s="25" t="n">
        <x:v>12.3</x:v>
      </x:c>
      <x:c r="F275" s="26" t="n">
        <x:f>IF(B275="","",IFERROR(VLOOKUP(TRIM(B275),'Giá cước'!$A$2:$D$7,4,FALSE),"Không tìm thấy mã cước"))</x:f>
        <x:v>19500</x:v>
      </x:c>
      <x:c r="G275" s="26" t="n">
        <x:f>IF(OR(B275="",E275=""),"",IFERROR(E275*F275,""))</x:f>
        <x:v>239850</x:v>
      </x:c>
      <x:c r="H275" s="24" t="str">
        <x:f>IF(B275="","",IF(ISNUMBER(F275),"OK","Cần kiểm tra"))</x:f>
        <x:v>OK</x:v>
      </x:c>
    </x:row>
    <x:row r="276" ht="21" customHeight="1">
      <x:c r="A276" s="24" t="str">
        <x:v>FM-2026-0275</x:v>
      </x:c>
      <x:c r="B276" s="24" t="str">
        <x:v>MIEN_TAY</x:v>
      </x:c>
      <x:c r="C276" s="21" t="str">
        <x:v>Võ Hà 275</x:v>
      </x:c>
      <x:c r="D276" s="21" t="str">
        <x:v>Miền Tây</x:v>
      </x:c>
      <x:c r="E276" s="25" t="n">
        <x:v>1</x:v>
      </x:c>
      <x:c r="F276" s="26" t="n">
        <x:f>IF(B276="","",IFERROR(VLOOKUP(TRIM(B276),'Giá cước'!$A$2:$D$7,4,FALSE),"Không tìm thấy mã cước"))</x:f>
        <x:v>22000</x:v>
      </x:c>
      <x:c r="G276" s="26" t="n">
        <x:f>IF(OR(B276="",E276=""),"",IFERROR(E276*F276,""))</x:f>
        <x:v>22000</x:v>
      </x:c>
      <x:c r="H276" s="24" t="str">
        <x:f>IF(B276="","",IF(ISNUMBER(F276),"OK","Cần kiểm tra"))</x:f>
        <x:v>OK</x:v>
      </x:c>
    </x:row>
    <x:row r="277" ht="21" customHeight="1">
      <x:c r="A277" s="24" t="str">
        <x:v>FM-2026-0276</x:v>
      </x:c>
      <x:c r="B277" s="24" t="str">
        <x:v>MIEN_NUI</x:v>
      </x:c>
      <x:c r="C277" s="21" t="str">
        <x:v>Đỗ Khang 276</x:v>
      </x:c>
      <x:c r="D277" s="21" t="str">
        <x:v>Miền núi</x:v>
      </x:c>
      <x:c r="E277" s="25" t="n">
        <x:v>1.7</x:v>
      </x:c>
      <x:c r="F277" s="26" t="n">
        <x:f>IF(B277="","",IFERROR(VLOOKUP(TRIM(B277),'Giá cước'!$A$2:$D$7,4,FALSE),"Không tìm thấy mã cước"))</x:f>
        <x:v>27000</x:v>
      </x:c>
      <x:c r="G277" s="26" t="n">
        <x:f>IF(OR(B277="",E277=""),"",IFERROR(E277*F277,""))</x:f>
        <x:v>45900</x:v>
      </x:c>
      <x:c r="H277" s="24" t="str">
        <x:f>IF(B277="","",IF(ISNUMBER(F277),"OK","Cần kiểm tra"))</x:f>
        <x:v>OK</x:v>
      </x:c>
    </x:row>
    <x:row r="278" ht="21" customHeight="1">
      <x:c r="A278" s="24" t="str">
        <x:v>FM-2026-0277</x:v>
      </x:c>
      <x:c r="B278" s="24" t="str">
        <x:v>HN_NT</x:v>
      </x:c>
      <x:c r="C278" s="21" t="str">
        <x:v>Bùi Lan 277</x:v>
      </x:c>
      <x:c r="D278" s="21" t="str">
        <x:v>Hà Nội nội thành</x:v>
      </x:c>
      <x:c r="E278" s="25" t="n">
        <x:v>2.4</x:v>
      </x:c>
      <x:c r="F278" s="26" t="n">
        <x:f>IF(B278="","",IFERROR(VLOOKUP(TRIM(B278),'Giá cước'!$A$2:$D$7,4,FALSE),"Không tìm thấy mã cước"))</x:f>
        <x:v>12000</x:v>
      </x:c>
      <x:c r="G278" s="26" t="n">
        <x:f>IF(OR(B278="",E278=""),"",IFERROR(E278*F278,""))</x:f>
        <x:v>28800</x:v>
      </x:c>
      <x:c r="H278" s="24" t="str">
        <x:f>IF(B278="","",IF(ISNUMBER(F278),"OK","Cần kiểm tra"))</x:f>
        <x:v>OK</x:v>
      </x:c>
    </x:row>
    <x:row r="279" ht="21" customHeight="1">
      <x:c r="A279" s="24" t="str">
        <x:v>FM-2026-0278</x:v>
      </x:c>
      <x:c r="B279" s="24" t="str">
        <x:v>HN_LT</x:v>
      </x:c>
      <x:c r="C279" s="21" t="str">
        <x:v>Hoàng Minh 278</x:v>
      </x:c>
      <x:c r="D279" s="21" t="str">
        <x:v>Hà Nội liên tỉnh</x:v>
      </x:c>
      <x:c r="E279" s="25" t="n">
        <x:v>3.1</x:v>
      </x:c>
      <x:c r="F279" s="26" t="n">
        <x:f>IF(B279="","",IFERROR(VLOOKUP(TRIM(B279),'Giá cước'!$A$2:$D$7,4,FALSE),"Không tìm thấy mã cước"))</x:f>
        <x:v>18000</x:v>
      </x:c>
      <x:c r="G279" s="26" t="n">
        <x:f>IF(OR(B279="",E279=""),"",IFERROR(E279*F279,""))</x:f>
        <x:v>55800</x:v>
      </x:c>
      <x:c r="H279" s="24" t="str">
        <x:f>IF(B279="","",IF(ISNUMBER(F279),"OK","Cần kiểm tra"))</x:f>
        <x:v>OK</x:v>
      </x:c>
    </x:row>
    <x:row r="280" ht="21" customHeight="1">
      <x:c r="A280" s="24" t="str">
        <x:v>FM-2026-0279</x:v>
      </x:c>
      <x:c r="B280" s="24" t="str">
        <x:v>HCM_NT</x:v>
      </x:c>
      <x:c r="C280" s="21" t="str">
        <x:v>Phan Ngọc 279</x:v>
      </x:c>
      <x:c r="D280" s="21" t="str">
        <x:v>TP. Hồ Chí Minh nội thành</x:v>
      </x:c>
      <x:c r="E280" s="25" t="n">
        <x:v>3.8</x:v>
      </x:c>
      <x:c r="F280" s="26" t="n">
        <x:f>IF(B280="","",IFERROR(VLOOKUP(TRIM(B280),'Giá cước'!$A$2:$D$7,4,FALSE),"Không tìm thấy mã cước"))</x:f>
        <x:v>13000</x:v>
      </x:c>
      <x:c r="G280" s="26" t="n">
        <x:f>IF(OR(B280="",E280=""),"",IFERROR(E280*F280,""))</x:f>
        <x:v>49400</x:v>
      </x:c>
      <x:c r="H280" s="24" t="str">
        <x:f>IF(B280="","",IF(ISNUMBER(F280),"OK","Cần kiểm tra"))</x:f>
        <x:v>OK</x:v>
      </x:c>
    </x:row>
    <x:row r="281" ht="21" customHeight="1">
      <x:c r="A281" s="24" t="str">
        <x:v>FM-2026-0280</x:v>
      </x:c>
      <x:c r="B281" s="24" t="str">
        <x:v>HCM_LT</x:v>
      </x:c>
      <x:c r="C281" s="21" t="str">
        <x:v>Đặng Quân 280</x:v>
      </x:c>
      <x:c r="D281" s="21" t="str">
        <x:v>TP. Hồ Chí Minh liên tỉnh</x:v>
      </x:c>
      <x:c r="E281" s="25" t="n">
        <x:v>4.5</x:v>
      </x:c>
      <x:c r="F281" s="26" t="n">
        <x:f>IF(B281="","",IFERROR(VLOOKUP(TRIM(B281),'Giá cước'!$A$2:$D$7,4,FALSE),"Không tìm thấy mã cước"))</x:f>
        <x:v>19500</x:v>
      </x:c>
      <x:c r="G281" s="26" t="n">
        <x:f>IF(OR(B281="",E281=""),"",IFERROR(E281*F281,""))</x:f>
        <x:v>87750</x:v>
      </x:c>
      <x:c r="H281" s="24" t="str">
        <x:f>IF(B281="","",IF(ISNUMBER(F281),"OK","Cần kiểm tra"))</x:f>
        <x:v>OK</x:v>
      </x:c>
    </x:row>
    <x:row r="282" ht="21" customHeight="1">
      <x:c r="A282" s="24" t="str">
        <x:v>FM-2026-0281</x:v>
      </x:c>
      <x:c r="B282" s="24" t="str">
        <x:v>MIEN_TAY</x:v>
      </x:c>
      <x:c r="C282" s="21" t="str">
        <x:v>Nguyễn An 281</x:v>
      </x:c>
      <x:c r="D282" s="21" t="str">
        <x:v>Miền Tây</x:v>
      </x:c>
      <x:c r="E282" s="25" t="n">
        <x:v>5.2</x:v>
      </x:c>
      <x:c r="F282" s="26" t="n">
        <x:f>IF(B282="","",IFERROR(VLOOKUP(TRIM(B282),'Giá cước'!$A$2:$D$7,4,FALSE),"Không tìm thấy mã cước"))</x:f>
        <x:v>22000</x:v>
      </x:c>
      <x:c r="G282" s="26" t="n">
        <x:f>IF(OR(B282="",E282=""),"",IFERROR(E282*F282,""))</x:f>
        <x:v>114400</x:v>
      </x:c>
      <x:c r="H282" s="24" t="str">
        <x:f>IF(B282="","",IF(ISNUMBER(F282),"OK","Cần kiểm tra"))</x:f>
        <x:v>OK</x:v>
      </x:c>
    </x:row>
    <x:row r="283" ht="21" customHeight="1">
      <x:c r="A283" s="24" t="str">
        <x:v>FM-2026-0282</x:v>
      </x:c>
      <x:c r="B283" s="24" t="str">
        <x:v>MIEN_NUI</x:v>
      </x:c>
      <x:c r="C283" s="21" t="str">
        <x:v>Trần Bình 282</x:v>
      </x:c>
      <x:c r="D283" s="21" t="str">
        <x:v>Miền núi</x:v>
      </x:c>
      <x:c r="E283" s="25" t="n">
        <x:v>5.9</x:v>
      </x:c>
      <x:c r="F283" s="26" t="n">
        <x:f>IF(B283="","",IFERROR(VLOOKUP(TRIM(B283),'Giá cước'!$A$2:$D$7,4,FALSE),"Không tìm thấy mã cước"))</x:f>
        <x:v>27000</x:v>
      </x:c>
      <x:c r="G283" s="26" t="n">
        <x:f>IF(OR(B283="",E283=""),"",IFERROR(E283*F283,""))</x:f>
        <x:v>159300</x:v>
      </x:c>
      <x:c r="H283" s="24" t="str">
        <x:f>IF(B283="","",IF(ISNUMBER(F283),"OK","Cần kiểm tra"))</x:f>
        <x:v>OK</x:v>
      </x:c>
    </x:row>
    <x:row r="284" ht="21" customHeight="1">
      <x:c r="A284" s="24" t="str">
        <x:v>FM-2026-0283</x:v>
      </x:c>
      <x:c r="B284" s="24" t="str">
        <x:v>HN_NT</x:v>
      </x:c>
      <x:c r="C284" s="21" t="str">
        <x:v>Lê Chi 283</x:v>
      </x:c>
      <x:c r="D284" s="21" t="str">
        <x:v>Hà Nội nội thành</x:v>
      </x:c>
      <x:c r="E284" s="25" t="n">
        <x:v>6.6</x:v>
      </x:c>
      <x:c r="F284" s="26" t="n">
        <x:f>IF(B284="","",IFERROR(VLOOKUP(TRIM(B284),'Giá cước'!$A$2:$D$7,4,FALSE),"Không tìm thấy mã cước"))</x:f>
        <x:v>12000</x:v>
      </x:c>
      <x:c r="G284" s="26" t="n">
        <x:f>IF(OR(B284="",E284=""),"",IFERROR(E284*F284,""))</x:f>
        <x:v>79200</x:v>
      </x:c>
      <x:c r="H284" s="24" t="str">
        <x:f>IF(B284="","",IF(ISNUMBER(F284),"OK","Cần kiểm tra"))</x:f>
        <x:v>OK</x:v>
      </x:c>
    </x:row>
    <x:row r="285" ht="21" customHeight="1">
      <x:c r="A285" s="24" t="str">
        <x:v>FM-2026-0284</x:v>
      </x:c>
      <x:c r="B285" s="24" t="str">
        <x:v>HN_LT</x:v>
      </x:c>
      <x:c r="C285" s="21" t="str">
        <x:v>Phạm Duy 284</x:v>
      </x:c>
      <x:c r="D285" s="21" t="str">
        <x:v>Hà Nội liên tỉnh</x:v>
      </x:c>
      <x:c r="E285" s="25" t="n">
        <x:v>7.3</x:v>
      </x:c>
      <x:c r="F285" s="26" t="n">
        <x:f>IF(B285="","",IFERROR(VLOOKUP(TRIM(B285),'Giá cước'!$A$2:$D$7,4,FALSE),"Không tìm thấy mã cước"))</x:f>
        <x:v>18000</x:v>
      </x:c>
      <x:c r="G285" s="26" t="n">
        <x:f>IF(OR(B285="",E285=""),"",IFERROR(E285*F285,""))</x:f>
        <x:v>131400</x:v>
      </x:c>
      <x:c r="H285" s="24" t="str">
        <x:f>IF(B285="","",IF(ISNUMBER(F285),"OK","Cần kiểm tra"))</x:f>
        <x:v>OK</x:v>
      </x:c>
    </x:row>
    <x:row r="286" ht="21" customHeight="1">
      <x:c r="A286" s="24" t="str">
        <x:v>FM-2026-0285</x:v>
      </x:c>
      <x:c r="B286" s="24" t="str">
        <x:v>HCM_NT</x:v>
      </x:c>
      <x:c r="C286" s="21" t="str">
        <x:v>Võ Hà 285</x:v>
      </x:c>
      <x:c r="D286" s="21" t="str">
        <x:v>TP. Hồ Chí Minh nội thành</x:v>
      </x:c>
      <x:c r="E286" s="25" t="n">
        <x:v>8</x:v>
      </x:c>
      <x:c r="F286" s="26" t="n">
        <x:f>IF(B286="","",IFERROR(VLOOKUP(TRIM(B286),'Giá cước'!$A$2:$D$7,4,FALSE),"Không tìm thấy mã cước"))</x:f>
        <x:v>13000</x:v>
      </x:c>
      <x:c r="G286" s="26" t="n">
        <x:f>IF(OR(B286="",E286=""),"",IFERROR(E286*F286,""))</x:f>
        <x:v>104000</x:v>
      </x:c>
      <x:c r="H286" s="24" t="str">
        <x:f>IF(B286="","",IF(ISNUMBER(F286),"OK","Cần kiểm tra"))</x:f>
        <x:v>OK</x:v>
      </x:c>
    </x:row>
    <x:row r="287" ht="21" customHeight="1">
      <x:c r="A287" s="24" t="str">
        <x:v>FM-2026-0286</x:v>
      </x:c>
      <x:c r="B287" s="24" t="str">
        <x:v>HCM_LT</x:v>
      </x:c>
      <x:c r="C287" s="21" t="str">
        <x:v>Đỗ Khang 286</x:v>
      </x:c>
      <x:c r="D287" s="21" t="str">
        <x:v>TP. Hồ Chí Minh liên tỉnh</x:v>
      </x:c>
      <x:c r="E287" s="25" t="n">
        <x:v>8.7</x:v>
      </x:c>
      <x:c r="F287" s="26" t="n">
        <x:f>IF(B287="","",IFERROR(VLOOKUP(TRIM(B287),'Giá cước'!$A$2:$D$7,4,FALSE),"Không tìm thấy mã cước"))</x:f>
        <x:v>19500</x:v>
      </x:c>
      <x:c r="G287" s="26" t="n">
        <x:f>IF(OR(B287="",E287=""),"",IFERROR(E287*F287,""))</x:f>
        <x:v>169650</x:v>
      </x:c>
      <x:c r="H287" s="24" t="str">
        <x:f>IF(B287="","",IF(ISNUMBER(F287),"OK","Cần kiểm tra"))</x:f>
        <x:v>OK</x:v>
      </x:c>
    </x:row>
    <x:row r="288" ht="21" customHeight="1">
      <x:c r="A288" s="24" t="str">
        <x:v>FM-2026-0287</x:v>
      </x:c>
      <x:c r="B288" s="24" t="str">
        <x:v>MIEN_TAY</x:v>
      </x:c>
      <x:c r="C288" s="21" t="str">
        <x:v>Bùi Lan 287</x:v>
      </x:c>
      <x:c r="D288" s="21" t="str">
        <x:v>Miền Tây</x:v>
      </x:c>
      <x:c r="E288" s="25" t="n">
        <x:v>9.4</x:v>
      </x:c>
      <x:c r="F288" s="26" t="n">
        <x:f>IF(B288="","",IFERROR(VLOOKUP(TRIM(B288),'Giá cước'!$A$2:$D$7,4,FALSE),"Không tìm thấy mã cước"))</x:f>
        <x:v>22000</x:v>
      </x:c>
      <x:c r="G288" s="26" t="n">
        <x:f>IF(OR(B288="",E288=""),"",IFERROR(E288*F288,""))</x:f>
        <x:v>206800</x:v>
      </x:c>
      <x:c r="H288" s="24" t="str">
        <x:f>IF(B288="","",IF(ISNUMBER(F288),"OK","Cần kiểm tra"))</x:f>
        <x:v>OK</x:v>
      </x:c>
    </x:row>
    <x:row r="289" ht="21" customHeight="1">
      <x:c r="A289" s="24" t="str">
        <x:v>FM-2026-0288</x:v>
      </x:c>
      <x:c r="B289" s="24" t="str">
        <x:v>MIEN_NUI</x:v>
      </x:c>
      <x:c r="C289" s="21" t="str">
        <x:v>Hoàng Minh 288</x:v>
      </x:c>
      <x:c r="D289" s="21" t="str">
        <x:v>Miền núi</x:v>
      </x:c>
      <x:c r="E289" s="25" t="n">
        <x:v>10.1</x:v>
      </x:c>
      <x:c r="F289" s="26" t="n">
        <x:f>IF(B289="","",IFERROR(VLOOKUP(TRIM(B289),'Giá cước'!$A$2:$D$7,4,FALSE),"Không tìm thấy mã cước"))</x:f>
        <x:v>27000</x:v>
      </x:c>
      <x:c r="G289" s="26" t="n">
        <x:f>IF(OR(B289="",E289=""),"",IFERROR(E289*F289,""))</x:f>
        <x:v>272700</x:v>
      </x:c>
      <x:c r="H289" s="24" t="str">
        <x:f>IF(B289="","",IF(ISNUMBER(F289),"OK","Cần kiểm tra"))</x:f>
        <x:v>OK</x:v>
      </x:c>
    </x:row>
    <x:row r="290" ht="21" customHeight="1">
      <x:c r="A290" s="24" t="str">
        <x:v>FM-2026-0289</x:v>
      </x:c>
      <x:c r="B290" s="24" t="str">
        <x:v>HN_NT</x:v>
      </x:c>
      <x:c r="C290" s="21" t="str">
        <x:v>Phan Ngọc 289</x:v>
      </x:c>
      <x:c r="D290" s="21" t="str">
        <x:v>Hà Nội nội thành</x:v>
      </x:c>
      <x:c r="E290" s="25" t="n">
        <x:v>10.8</x:v>
      </x:c>
      <x:c r="F290" s="26" t="n">
        <x:f>IF(B290="","",IFERROR(VLOOKUP(TRIM(B290),'Giá cước'!$A$2:$D$7,4,FALSE),"Không tìm thấy mã cước"))</x:f>
        <x:v>12000</x:v>
      </x:c>
      <x:c r="G290" s="26" t="n">
        <x:f>IF(OR(B290="",E290=""),"",IFERROR(E290*F290,""))</x:f>
        <x:v>129600.00000000001</x:v>
      </x:c>
      <x:c r="H290" s="24" t="str">
        <x:f>IF(B290="","",IF(ISNUMBER(F290),"OK","Cần kiểm tra"))</x:f>
        <x:v>OK</x:v>
      </x:c>
    </x:row>
    <x:row r="291" ht="21" customHeight="1">
      <x:c r="A291" s="24" t="str">
        <x:v>FM-2026-0290</x:v>
      </x:c>
      <x:c r="B291" s="24" t="str">
        <x:v>HN_LT</x:v>
      </x:c>
      <x:c r="C291" s="21" t="str">
        <x:v>Đặng Quân 290</x:v>
      </x:c>
      <x:c r="D291" s="21" t="str">
        <x:v>Hà Nội liên tỉnh</x:v>
      </x:c>
      <x:c r="E291" s="25" t="n">
        <x:v>11.5</x:v>
      </x:c>
      <x:c r="F291" s="26" t="n">
        <x:f>IF(B291="","",IFERROR(VLOOKUP(TRIM(B291),'Giá cước'!$A$2:$D$7,4,FALSE),"Không tìm thấy mã cước"))</x:f>
        <x:v>18000</x:v>
      </x:c>
      <x:c r="G291" s="26" t="n">
        <x:f>IF(OR(B291="",E291=""),"",IFERROR(E291*F291,""))</x:f>
        <x:v>207000</x:v>
      </x:c>
      <x:c r="H291" s="24" t="str">
        <x:f>IF(B291="","",IF(ISNUMBER(F291),"OK","Cần kiểm tra"))</x:f>
        <x:v>OK</x:v>
      </x:c>
    </x:row>
    <x:row r="292" ht="21" customHeight="1">
      <x:c r="A292" s="24" t="str">
        <x:v>FM-2026-0291</x:v>
      </x:c>
      <x:c r="B292" s="24" t="str">
        <x:v>HCM_NT</x:v>
      </x:c>
      <x:c r="C292" s="21" t="str">
        <x:v>Nguyễn An 291</x:v>
      </x:c>
      <x:c r="D292" s="21" t="str">
        <x:v>TP. Hồ Chí Minh nội thành</x:v>
      </x:c>
      <x:c r="E292" s="25" t="n">
        <x:v>12.2</x:v>
      </x:c>
      <x:c r="F292" s="26" t="n">
        <x:f>IF(B292="","",IFERROR(VLOOKUP(TRIM(B292),'Giá cước'!$A$2:$D$7,4,FALSE),"Không tìm thấy mã cước"))</x:f>
        <x:v>13000</x:v>
      </x:c>
      <x:c r="G292" s="26" t="n">
        <x:f>IF(OR(B292="",E292=""),"",IFERROR(E292*F292,""))</x:f>
        <x:v>158600</x:v>
      </x:c>
      <x:c r="H292" s="24" t="str">
        <x:f>IF(B292="","",IF(ISNUMBER(F292),"OK","Cần kiểm tra"))</x:f>
        <x:v>OK</x:v>
      </x:c>
    </x:row>
    <x:row r="293" ht="21" customHeight="1">
      <x:c r="A293" s="24" t="str">
        <x:v>FM-2026-0292</x:v>
      </x:c>
      <x:c r="B293" s="24" t="str">
        <x:v>HCM_LT</x:v>
      </x:c>
      <x:c r="C293" s="21" t="str">
        <x:v>Trần Bình 292</x:v>
      </x:c>
      <x:c r="D293" s="21" t="str">
        <x:v>TP. Hồ Chí Minh liên tỉnh</x:v>
      </x:c>
      <x:c r="E293" s="25" t="n">
        <x:v>0.9</x:v>
      </x:c>
      <x:c r="F293" s="26" t="n">
        <x:f>IF(B293="","",IFERROR(VLOOKUP(TRIM(B293),'Giá cước'!$A$2:$D$7,4,FALSE),"Không tìm thấy mã cước"))</x:f>
        <x:v>19500</x:v>
      </x:c>
      <x:c r="G293" s="26" t="n">
        <x:f>IF(OR(B293="",E293=""),"",IFERROR(E293*F293,""))</x:f>
        <x:v>17550</x:v>
      </x:c>
      <x:c r="H293" s="24" t="str">
        <x:f>IF(B293="","",IF(ISNUMBER(F293),"OK","Cần kiểm tra"))</x:f>
        <x:v>OK</x:v>
      </x:c>
    </x:row>
    <x:row r="294" ht="21" customHeight="1">
      <x:c r="A294" s="24" t="str">
        <x:v>FM-2026-0293</x:v>
      </x:c>
      <x:c r="B294" s="24" t="str">
        <x:v>MIEN_TAY</x:v>
      </x:c>
      <x:c r="C294" s="21" t="str">
        <x:v>Lê Chi 293</x:v>
      </x:c>
      <x:c r="D294" s="21" t="str">
        <x:v>Miền Tây</x:v>
      </x:c>
      <x:c r="E294" s="25" t="n">
        <x:v>1.6</x:v>
      </x:c>
      <x:c r="F294" s="26" t="n">
        <x:f>IF(B294="","",IFERROR(VLOOKUP(TRIM(B294),'Giá cước'!$A$2:$D$7,4,FALSE),"Không tìm thấy mã cước"))</x:f>
        <x:v>22000</x:v>
      </x:c>
      <x:c r="G294" s="26" t="n">
        <x:f>IF(OR(B294="",E294=""),"",IFERROR(E294*F294,""))</x:f>
        <x:v>35200</x:v>
      </x:c>
      <x:c r="H294" s="24" t="str">
        <x:f>IF(B294="","",IF(ISNUMBER(F294),"OK","Cần kiểm tra"))</x:f>
        <x:v>OK</x:v>
      </x:c>
    </x:row>
    <x:row r="295" ht="21" customHeight="1">
      <x:c r="A295" s="24" t="str">
        <x:v>FM-2026-0294</x:v>
      </x:c>
      <x:c r="B295" s="24" t="str">
        <x:v>MIEN_NUI</x:v>
      </x:c>
      <x:c r="C295" s="21" t="str">
        <x:v>Phạm Duy 294</x:v>
      </x:c>
      <x:c r="D295" s="21" t="str">
        <x:v>Miền núi</x:v>
      </x:c>
      <x:c r="E295" s="25" t="n">
        <x:v>2.3</x:v>
      </x:c>
      <x:c r="F295" s="26" t="n">
        <x:f>IF(B295="","",IFERROR(VLOOKUP(TRIM(B295),'Giá cước'!$A$2:$D$7,4,FALSE),"Không tìm thấy mã cước"))</x:f>
        <x:v>27000</x:v>
      </x:c>
      <x:c r="G295" s="26" t="n">
        <x:f>IF(OR(B295="",E295=""),"",IFERROR(E295*F295,""))</x:f>
        <x:v>62099.99999999999</x:v>
      </x:c>
      <x:c r="H295" s="24" t="str">
        <x:f>IF(B295="","",IF(ISNUMBER(F295),"OK","Cần kiểm tra"))</x:f>
        <x:v>OK</x:v>
      </x:c>
    </x:row>
    <x:row r="296" ht="21" customHeight="1">
      <x:c r="A296" s="24" t="str">
        <x:v>FM-2026-0295</x:v>
      </x:c>
      <x:c r="B296" s="24" t="str">
        <x:v>HN_NT</x:v>
      </x:c>
      <x:c r="C296" s="21" t="str">
        <x:v>Võ Hà 295</x:v>
      </x:c>
      <x:c r="D296" s="21" t="str">
        <x:v>Hà Nội nội thành</x:v>
      </x:c>
      <x:c r="E296" s="25" t="n">
        <x:v>3</x:v>
      </x:c>
      <x:c r="F296" s="26" t="n">
        <x:f>IF(B296="","",IFERROR(VLOOKUP(TRIM(B296),'Giá cước'!$A$2:$D$7,4,FALSE),"Không tìm thấy mã cước"))</x:f>
        <x:v>12000</x:v>
      </x:c>
      <x:c r="G296" s="26" t="n">
        <x:f>IF(OR(B296="",E296=""),"",IFERROR(E296*F296,""))</x:f>
        <x:v>36000</x:v>
      </x:c>
      <x:c r="H296" s="24" t="str">
        <x:f>IF(B296="","",IF(ISNUMBER(F296),"OK","Cần kiểm tra"))</x:f>
        <x:v>OK</x:v>
      </x:c>
    </x:row>
    <x:row r="297" ht="21" customHeight="1">
      <x:c r="A297" s="24" t="str">
        <x:v>FM-2026-0296</x:v>
      </x:c>
      <x:c r="B297" s="24" t="str">
        <x:v>HN_LT</x:v>
      </x:c>
      <x:c r="C297" s="21" t="str">
        <x:v>Đỗ Khang 296</x:v>
      </x:c>
      <x:c r="D297" s="21" t="str">
        <x:v>Hà Nội liên tỉnh</x:v>
      </x:c>
      <x:c r="E297" s="25" t="n">
        <x:v>3.7</x:v>
      </x:c>
      <x:c r="F297" s="26" t="n">
        <x:f>IF(B297="","",IFERROR(VLOOKUP(TRIM(B297),'Giá cước'!$A$2:$D$7,4,FALSE),"Không tìm thấy mã cước"))</x:f>
        <x:v>18000</x:v>
      </x:c>
      <x:c r="G297" s="26" t="n">
        <x:f>IF(OR(B297="",E297=""),"",IFERROR(E297*F297,""))</x:f>
        <x:v>66600</x:v>
      </x:c>
      <x:c r="H297" s="24" t="str">
        <x:f>IF(B297="","",IF(ISNUMBER(F297),"OK","Cần kiểm tra"))</x:f>
        <x:v>OK</x:v>
      </x:c>
    </x:row>
    <x:row r="298" ht="21" customHeight="1">
      <x:c r="A298" s="24" t="str">
        <x:v>FM-2026-0297</x:v>
      </x:c>
      <x:c r="B298" s="24" t="str">
        <x:v>HCM_NT</x:v>
      </x:c>
      <x:c r="C298" s="21" t="str">
        <x:v>Bùi Lan 297</x:v>
      </x:c>
      <x:c r="D298" s="21" t="str">
        <x:v>TP. Hồ Chí Minh nội thành</x:v>
      </x:c>
      <x:c r="E298" s="25" t="n">
        <x:v>4.4</x:v>
      </x:c>
      <x:c r="F298" s="26" t="n">
        <x:f>IF(B298="","",IFERROR(VLOOKUP(TRIM(B298),'Giá cước'!$A$2:$D$7,4,FALSE),"Không tìm thấy mã cước"))</x:f>
        <x:v>13000</x:v>
      </x:c>
      <x:c r="G298" s="26" t="n">
        <x:f>IF(OR(B298="",E298=""),"",IFERROR(E298*F298,""))</x:f>
        <x:v>57200.00000000001</x:v>
      </x:c>
      <x:c r="H298" s="24" t="str">
        <x:f>IF(B298="","",IF(ISNUMBER(F298),"OK","Cần kiểm tra"))</x:f>
        <x:v>OK</x:v>
      </x:c>
    </x:row>
    <x:row r="299" ht="21" customHeight="1">
      <x:c r="A299" s="24" t="str">
        <x:v>FM-2026-0298</x:v>
      </x:c>
      <x:c r="B299" s="24" t="str">
        <x:v>HCM_LT</x:v>
      </x:c>
      <x:c r="C299" s="21" t="str">
        <x:v>Hoàng Minh 298</x:v>
      </x:c>
      <x:c r="D299" s="21" t="str">
        <x:v>TP. Hồ Chí Minh liên tỉnh</x:v>
      </x:c>
      <x:c r="E299" s="25" t="n">
        <x:v>5.1</x:v>
      </x:c>
      <x:c r="F299" s="26" t="n">
        <x:f>IF(B299="","",IFERROR(VLOOKUP(TRIM(B299),'Giá cước'!$A$2:$D$7,4,FALSE),"Không tìm thấy mã cước"))</x:f>
        <x:v>19500</x:v>
      </x:c>
      <x:c r="G299" s="26" t="n">
        <x:f>IF(OR(B299="",E299=""),"",IFERROR(E299*F299,""))</x:f>
        <x:v>99450</x:v>
      </x:c>
      <x:c r="H299" s="24" t="str">
        <x:f>IF(B299="","",IF(ISNUMBER(F299),"OK","Cần kiểm tra"))</x:f>
        <x:v>OK</x:v>
      </x:c>
    </x:row>
    <x:row r="300" ht="21" customHeight="1">
      <x:c r="A300" s="24" t="str">
        <x:v>FM-2026-0299</x:v>
      </x:c>
      <x:c r="B300" s="24" t="str">
        <x:v>MIEN_TAY</x:v>
      </x:c>
      <x:c r="C300" s="21" t="str">
        <x:v>Phan Ngọc 299</x:v>
      </x:c>
      <x:c r="D300" s="21" t="str">
        <x:v>Miền Tây</x:v>
      </x:c>
      <x:c r="E300" s="25" t="n">
        <x:v>5.8</x:v>
      </x:c>
      <x:c r="F300" s="26" t="n">
        <x:f>IF(B300="","",IFERROR(VLOOKUP(TRIM(B300),'Giá cước'!$A$2:$D$7,4,FALSE),"Không tìm thấy mã cước"))</x:f>
        <x:v>22000</x:v>
      </x:c>
      <x:c r="G300" s="26" t="n">
        <x:f>IF(OR(B300="",E300=""),"",IFERROR(E300*F300,""))</x:f>
        <x:v>127600</x:v>
      </x:c>
      <x:c r="H300" s="24" t="str">
        <x:f>IF(B300="","",IF(ISNUMBER(F300),"OK","Cần kiểm tra"))</x:f>
        <x:v>OK</x:v>
      </x:c>
    </x:row>
    <x:row r="301" ht="21" customHeight="1">
      <x:c r="A301" s="24" t="str">
        <x:v>FM-2026-0300</x:v>
      </x:c>
      <x:c r="B301" s="24" t="str">
        <x:v>MIEN_NUI</x:v>
      </x:c>
      <x:c r="C301" s="21" t="str">
        <x:v>Đặng Quân 300</x:v>
      </x:c>
      <x:c r="D301" s="21" t="str">
        <x:v>Miền núi</x:v>
      </x:c>
      <x:c r="E301" s="25" t="n">
        <x:v>6.5</x:v>
      </x:c>
      <x:c r="F301" s="26" t="n">
        <x:f>IF(B301="","",IFERROR(VLOOKUP(TRIM(B301),'Giá cước'!$A$2:$D$7,4,FALSE),"Không tìm thấy mã cước"))</x:f>
        <x:v>27000</x:v>
      </x:c>
      <x:c r="G301" s="26" t="n">
        <x:f>IF(OR(B301="",E301=""),"",IFERROR(E301*F301,""))</x:f>
        <x:v>175500</x:v>
      </x:c>
      <x:c r="H301" s="24" t="str">
        <x:f>IF(B301="","",IF(ISNUMBER(F301),"OK","Cần kiểm tra"))</x:f>
        <x:v>OK</x:v>
      </x:c>
    </x:row>
    <x:row r="302" ht="21" customHeight="1">
      <x:c r="A302" s="24" t="str">
        <x:v>FM-2026-0301</x:v>
      </x:c>
      <x:c r="B302" s="24" t="str">
        <x:v>HN_NT</x:v>
      </x:c>
      <x:c r="C302" s="21" t="str">
        <x:v>Nguyễn An 301</x:v>
      </x:c>
      <x:c r="D302" s="21" t="str">
        <x:v>Hà Nội nội thành</x:v>
      </x:c>
      <x:c r="E302" s="25" t="n">
        <x:v>7.2</x:v>
      </x:c>
      <x:c r="F302" s="26" t="n">
        <x:f>IF(B302="","",IFERROR(VLOOKUP(TRIM(B302),'Giá cước'!$A$2:$D$7,4,FALSE),"Không tìm thấy mã cước"))</x:f>
        <x:v>12000</x:v>
      </x:c>
      <x:c r="G302" s="26" t="n">
        <x:f>IF(OR(B302="",E302=""),"",IFERROR(E302*F302,""))</x:f>
        <x:v>86400</x:v>
      </x:c>
      <x:c r="H302" s="24" t="str">
        <x:f>IF(B302="","",IF(ISNUMBER(F302),"OK","Cần kiểm tra"))</x:f>
        <x:v>OK</x:v>
      </x:c>
    </x:row>
    <x:row r="303" ht="21" customHeight="1">
      <x:c r="A303" s="24" t="str">
        <x:v>FM-2026-0302</x:v>
      </x:c>
      <x:c r="B303" s="24" t="str">
        <x:v>HN_LT</x:v>
      </x:c>
      <x:c r="C303" s="21" t="str">
        <x:v>Trần Bình 302</x:v>
      </x:c>
      <x:c r="D303" s="21" t="str">
        <x:v>Hà Nội liên tỉnh</x:v>
      </x:c>
      <x:c r="E303" s="25" t="n">
        <x:v>7.9</x:v>
      </x:c>
      <x:c r="F303" s="26" t="n">
        <x:f>IF(B303="","",IFERROR(VLOOKUP(TRIM(B303),'Giá cước'!$A$2:$D$7,4,FALSE),"Không tìm thấy mã cước"))</x:f>
        <x:v>18000</x:v>
      </x:c>
      <x:c r="G303" s="26" t="n">
        <x:f>IF(OR(B303="",E303=""),"",IFERROR(E303*F303,""))</x:f>
        <x:v>142200</x:v>
      </x:c>
      <x:c r="H303" s="24" t="str">
        <x:f>IF(B303="","",IF(ISNUMBER(F303),"OK","Cần kiểm tra"))</x:f>
        <x:v>OK</x:v>
      </x:c>
    </x:row>
    <x:row r="304" ht="21" customHeight="1">
      <x:c r="A304" s="24" t="str">
        <x:v>FM-2026-0303</x:v>
      </x:c>
      <x:c r="B304" s="24" t="str">
        <x:v>HCM_NT</x:v>
      </x:c>
      <x:c r="C304" s="21" t="str">
        <x:v>Lê Chi 303</x:v>
      </x:c>
      <x:c r="D304" s="21" t="str">
        <x:v>TP. Hồ Chí Minh nội thành</x:v>
      </x:c>
      <x:c r="E304" s="25" t="n">
        <x:v>8.6</x:v>
      </x:c>
      <x:c r="F304" s="26" t="n">
        <x:f>IF(B304="","",IFERROR(VLOOKUP(TRIM(B304),'Giá cước'!$A$2:$D$7,4,FALSE),"Không tìm thấy mã cước"))</x:f>
        <x:v>13000</x:v>
      </x:c>
      <x:c r="G304" s="26" t="n">
        <x:f>IF(OR(B304="",E304=""),"",IFERROR(E304*F304,""))</x:f>
        <x:v>111800</x:v>
      </x:c>
      <x:c r="H304" s="24" t="str">
        <x:f>IF(B304="","",IF(ISNUMBER(F304),"OK","Cần kiểm tra"))</x:f>
        <x:v>OK</x:v>
      </x:c>
    </x:row>
    <x:row r="305" ht="21" customHeight="1">
      <x:c r="A305" s="24" t="str">
        <x:v>FM-2026-0304</x:v>
      </x:c>
      <x:c r="B305" s="24" t="str">
        <x:v>HCM_LT</x:v>
      </x:c>
      <x:c r="C305" s="21" t="str">
        <x:v>Phạm Duy 304</x:v>
      </x:c>
      <x:c r="D305" s="21" t="str">
        <x:v>TP. Hồ Chí Minh liên tỉnh</x:v>
      </x:c>
      <x:c r="E305" s="25" t="n">
        <x:v>9.3</x:v>
      </x:c>
      <x:c r="F305" s="26" t="n">
        <x:f>IF(B305="","",IFERROR(VLOOKUP(TRIM(B305),'Giá cước'!$A$2:$D$7,4,FALSE),"Không tìm thấy mã cước"))</x:f>
        <x:v>19500</x:v>
      </x:c>
      <x:c r="G305" s="26" t="n">
        <x:f>IF(OR(B305="",E305=""),"",IFERROR(E305*F305,""))</x:f>
        <x:v>181350</x:v>
      </x:c>
      <x:c r="H305" s="24" t="str">
        <x:f>IF(B305="","",IF(ISNUMBER(F305),"OK","Cần kiểm tra"))</x:f>
        <x:v>OK</x:v>
      </x:c>
    </x:row>
    <x:row r="306" ht="21" customHeight="1">
      <x:c r="A306" s="24" t="str">
        <x:v>FM-2026-0305</x:v>
      </x:c>
      <x:c r="B306" s="24" t="str">
        <x:v>MIEN_TAY</x:v>
      </x:c>
      <x:c r="C306" s="21" t="str">
        <x:v>Võ Hà 305</x:v>
      </x:c>
      <x:c r="D306" s="21" t="str">
        <x:v>Miền Tây</x:v>
      </x:c>
      <x:c r="E306" s="25" t="n">
        <x:v>10</x:v>
      </x:c>
      <x:c r="F306" s="26" t="n">
        <x:f>IF(B306="","",IFERROR(VLOOKUP(TRIM(B306),'Giá cước'!$A$2:$D$7,4,FALSE),"Không tìm thấy mã cước"))</x:f>
        <x:v>22000</x:v>
      </x:c>
      <x:c r="G306" s="26" t="n">
        <x:f>IF(OR(B306="",E306=""),"",IFERROR(E306*F306,""))</x:f>
        <x:v>220000</x:v>
      </x:c>
      <x:c r="H306" s="24" t="str">
        <x:f>IF(B306="","",IF(ISNUMBER(F306),"OK","Cần kiểm tra"))</x:f>
        <x:v>OK</x:v>
      </x:c>
    </x:row>
    <x:row r="307" ht="21" customHeight="1">
      <x:c r="A307" s="24" t="str">
        <x:v>FM-2026-0306</x:v>
      </x:c>
      <x:c r="B307" s="24" t="str">
        <x:v>MIEN_NUI</x:v>
      </x:c>
      <x:c r="C307" s="21" t="str">
        <x:v>Đỗ Khang 306</x:v>
      </x:c>
      <x:c r="D307" s="21" t="str">
        <x:v>Miền núi</x:v>
      </x:c>
      <x:c r="E307" s="25" t="n">
        <x:v>10.7</x:v>
      </x:c>
      <x:c r="F307" s="26" t="n">
        <x:f>IF(B307="","",IFERROR(VLOOKUP(TRIM(B307),'Giá cước'!$A$2:$D$7,4,FALSE),"Không tìm thấy mã cước"))</x:f>
        <x:v>27000</x:v>
      </x:c>
      <x:c r="G307" s="26" t="n">
        <x:f>IF(OR(B307="",E307=""),"",IFERROR(E307*F307,""))</x:f>
        <x:v>288900</x:v>
      </x:c>
      <x:c r="H307" s="24" t="str">
        <x:f>IF(B307="","",IF(ISNUMBER(F307),"OK","Cần kiểm tra"))</x:f>
        <x:v>OK</x:v>
      </x:c>
    </x:row>
    <x:row r="308" ht="21" customHeight="1">
      <x:c r="A308" s="24" t="str">
        <x:v>FM-2026-0307</x:v>
      </x:c>
      <x:c r="B308" s="24" t="str">
        <x:v>HN_NT</x:v>
      </x:c>
      <x:c r="C308" s="21" t="str">
        <x:v>Bùi Lan 307</x:v>
      </x:c>
      <x:c r="D308" s="21" t="str">
        <x:v>Hà Nội nội thành</x:v>
      </x:c>
      <x:c r="E308" s="25" t="n">
        <x:v>11.4</x:v>
      </x:c>
      <x:c r="F308" s="26" t="n">
        <x:f>IF(B308="","",IFERROR(VLOOKUP(TRIM(B308),'Giá cước'!$A$2:$D$7,4,FALSE),"Không tìm thấy mã cước"))</x:f>
        <x:v>12000</x:v>
      </x:c>
      <x:c r="G308" s="26" t="n">
        <x:f>IF(OR(B308="",E308=""),"",IFERROR(E308*F308,""))</x:f>
        <x:v>136800</x:v>
      </x:c>
      <x:c r="H308" s="24" t="str">
        <x:f>IF(B308="","",IF(ISNUMBER(F308),"OK","Cần kiểm tra"))</x:f>
        <x:v>OK</x:v>
      </x:c>
    </x:row>
    <x:row r="309" ht="21" customHeight="1">
      <x:c r="A309" s="24" t="str">
        <x:v>FM-2026-0308</x:v>
      </x:c>
      <x:c r="B309" s="24" t="str">
        <x:v>HN_LT</x:v>
      </x:c>
      <x:c r="C309" s="21" t="str">
        <x:v>Hoàng Minh 308</x:v>
      </x:c>
      <x:c r="D309" s="21" t="str">
        <x:v>Hà Nội liên tỉnh</x:v>
      </x:c>
      <x:c r="E309" s="25" t="n">
        <x:v>12.1</x:v>
      </x:c>
      <x:c r="F309" s="26" t="n">
        <x:f>IF(B309="","",IFERROR(VLOOKUP(TRIM(B309),'Giá cước'!$A$2:$D$7,4,FALSE),"Không tìm thấy mã cước"))</x:f>
        <x:v>18000</x:v>
      </x:c>
      <x:c r="G309" s="26" t="n">
        <x:f>IF(OR(B309="",E309=""),"",IFERROR(E309*F309,""))</x:f>
        <x:v>217800</x:v>
      </x:c>
      <x:c r="H309" s="24" t="str">
        <x:f>IF(B309="","",IF(ISNUMBER(F309),"OK","Cần kiểm tra"))</x:f>
        <x:v>OK</x:v>
      </x:c>
    </x:row>
    <x:row r="310" ht="21" customHeight="1">
      <x:c r="A310" s="24" t="str">
        <x:v>FM-2026-0309</x:v>
      </x:c>
      <x:c r="B310" s="24" t="str">
        <x:v>HCM_NT</x:v>
      </x:c>
      <x:c r="C310" s="21" t="str">
        <x:v>Phan Ngọc 309</x:v>
      </x:c>
      <x:c r="D310" s="21" t="str">
        <x:v>TP. Hồ Chí Minh nội thành</x:v>
      </x:c>
      <x:c r="E310" s="25" t="n">
        <x:v>0.8</x:v>
      </x:c>
      <x:c r="F310" s="26" t="n">
        <x:f>IF(B310="","",IFERROR(VLOOKUP(TRIM(B310),'Giá cước'!$A$2:$D$7,4,FALSE),"Không tìm thấy mã cước"))</x:f>
        <x:v>13000</x:v>
      </x:c>
      <x:c r="G310" s="26" t="n">
        <x:f>IF(OR(B310="",E310=""),"",IFERROR(E310*F310,""))</x:f>
        <x:v>10400</x:v>
      </x:c>
      <x:c r="H310" s="24" t="str">
        <x:f>IF(B310="","",IF(ISNUMBER(F310),"OK","Cần kiểm tra"))</x:f>
        <x:v>OK</x:v>
      </x:c>
    </x:row>
    <x:row r="311" ht="21" customHeight="1">
      <x:c r="A311" s="24" t="str">
        <x:v>FM-2026-0310</x:v>
      </x:c>
      <x:c r="B311" s="24" t="str">
        <x:v>HCM_LT</x:v>
      </x:c>
      <x:c r="C311" s="21" t="str">
        <x:v>Đặng Quân 310</x:v>
      </x:c>
      <x:c r="D311" s="21" t="str">
        <x:v>TP. Hồ Chí Minh liên tỉnh</x:v>
      </x:c>
      <x:c r="E311" s="25" t="n">
        <x:v>1.5</x:v>
      </x:c>
      <x:c r="F311" s="26" t="n">
        <x:f>IF(B311="","",IFERROR(VLOOKUP(TRIM(B311),'Giá cước'!$A$2:$D$7,4,FALSE),"Không tìm thấy mã cước"))</x:f>
        <x:v>19500</x:v>
      </x:c>
      <x:c r="G311" s="26" t="n">
        <x:f>IF(OR(B311="",E311=""),"",IFERROR(E311*F311,""))</x:f>
        <x:v>29250</x:v>
      </x:c>
      <x:c r="H311" s="24" t="str">
        <x:f>IF(B311="","",IF(ISNUMBER(F311),"OK","Cần kiểm tra"))</x:f>
        <x:v>OK</x:v>
      </x:c>
    </x:row>
    <x:row r="312" ht="21" customHeight="1">
      <x:c r="A312" s="24" t="str">
        <x:v>FM-2026-0311</x:v>
      </x:c>
      <x:c r="B312" s="24" t="str">
        <x:v>MIEN_TAY</x:v>
      </x:c>
      <x:c r="C312" s="21" t="str">
        <x:v>Nguyễn An 311</x:v>
      </x:c>
      <x:c r="D312" s="21" t="str">
        <x:v>Miền Tây</x:v>
      </x:c>
      <x:c r="E312" s="25" t="n">
        <x:v>2.2</x:v>
      </x:c>
      <x:c r="F312" s="26" t="n">
        <x:f>IF(B312="","",IFERROR(VLOOKUP(TRIM(B312),'Giá cước'!$A$2:$D$7,4,FALSE),"Không tìm thấy mã cước"))</x:f>
        <x:v>22000</x:v>
      </x:c>
      <x:c r="G312" s="26" t="n">
        <x:f>IF(OR(B312="",E312=""),"",IFERROR(E312*F312,""))</x:f>
        <x:v>48400.00000000001</x:v>
      </x:c>
      <x:c r="H312" s="24" t="str">
        <x:f>IF(B312="","",IF(ISNUMBER(F312),"OK","Cần kiểm tra"))</x:f>
        <x:v>OK</x:v>
      </x:c>
    </x:row>
    <x:row r="313" ht="21" customHeight="1">
      <x:c r="A313" s="24" t="str">
        <x:v>FM-2026-0312</x:v>
      </x:c>
      <x:c r="B313" s="24" t="str">
        <x:v>MIEN_NUI</x:v>
      </x:c>
      <x:c r="C313" s="21" t="str">
        <x:v>Trần Bình 312</x:v>
      </x:c>
      <x:c r="D313" s="21" t="str">
        <x:v>Miền núi</x:v>
      </x:c>
      <x:c r="E313" s="25" t="n">
        <x:v>2.9</x:v>
      </x:c>
      <x:c r="F313" s="26" t="n">
        <x:f>IF(B313="","",IFERROR(VLOOKUP(TRIM(B313),'Giá cước'!$A$2:$D$7,4,FALSE),"Không tìm thấy mã cước"))</x:f>
        <x:v>27000</x:v>
      </x:c>
      <x:c r="G313" s="26" t="n">
        <x:f>IF(OR(B313="",E313=""),"",IFERROR(E313*F313,""))</x:f>
        <x:v>78300</x:v>
      </x:c>
      <x:c r="H313" s="24" t="str">
        <x:f>IF(B313="","",IF(ISNUMBER(F313),"OK","Cần kiểm tra"))</x:f>
        <x:v>OK</x:v>
      </x:c>
    </x:row>
    <x:row r="314" ht="21" customHeight="1">
      <x:c r="A314" s="24" t="str">
        <x:v>FM-2026-0313</x:v>
      </x:c>
      <x:c r="B314" s="24" t="str">
        <x:v>HN_NT</x:v>
      </x:c>
      <x:c r="C314" s="21" t="str">
        <x:v>Lê Chi 313</x:v>
      </x:c>
      <x:c r="D314" s="21" t="str">
        <x:v>Hà Nội nội thành</x:v>
      </x:c>
      <x:c r="E314" s="25" t="n">
        <x:v>3.6</x:v>
      </x:c>
      <x:c r="F314" s="26" t="n">
        <x:f>IF(B314="","",IFERROR(VLOOKUP(TRIM(B314),'Giá cước'!$A$2:$D$7,4,FALSE),"Không tìm thấy mã cước"))</x:f>
        <x:v>12000</x:v>
      </x:c>
      <x:c r="G314" s="26" t="n">
        <x:f>IF(OR(B314="",E314=""),"",IFERROR(E314*F314,""))</x:f>
        <x:v>43200</x:v>
      </x:c>
      <x:c r="H314" s="24" t="str">
        <x:f>IF(B314="","",IF(ISNUMBER(F314),"OK","Cần kiểm tra"))</x:f>
        <x:v>OK</x:v>
      </x:c>
    </x:row>
    <x:row r="315" ht="21" customHeight="1">
      <x:c r="A315" s="24" t="str">
        <x:v>FM-2026-0314</x:v>
      </x:c>
      <x:c r="B315" s="24" t="str">
        <x:v>HN_LT</x:v>
      </x:c>
      <x:c r="C315" s="21" t="str">
        <x:v>Phạm Duy 314</x:v>
      </x:c>
      <x:c r="D315" s="21" t="str">
        <x:v>Hà Nội liên tỉnh</x:v>
      </x:c>
      <x:c r="E315" s="25" t="n">
        <x:v>4.3</x:v>
      </x:c>
      <x:c r="F315" s="26" t="n">
        <x:f>IF(B315="","",IFERROR(VLOOKUP(TRIM(B315),'Giá cước'!$A$2:$D$7,4,FALSE),"Không tìm thấy mã cước"))</x:f>
        <x:v>18000</x:v>
      </x:c>
      <x:c r="G315" s="26" t="n">
        <x:f>IF(OR(B315="",E315=""),"",IFERROR(E315*F315,""))</x:f>
        <x:v>77400</x:v>
      </x:c>
      <x:c r="H315" s="24" t="str">
        <x:f>IF(B315="","",IF(ISNUMBER(F315),"OK","Cần kiểm tra"))</x:f>
        <x:v>OK</x:v>
      </x:c>
    </x:row>
    <x:row r="316" ht="21" customHeight="1">
      <x:c r="A316" s="24" t="str">
        <x:v>FM-2026-0315</x:v>
      </x:c>
      <x:c r="B316" s="24" t="str">
        <x:v>HCM_NT</x:v>
      </x:c>
      <x:c r="C316" s="21" t="str">
        <x:v>Võ Hà 315</x:v>
      </x:c>
      <x:c r="D316" s="21" t="str">
        <x:v>TP. Hồ Chí Minh nội thành</x:v>
      </x:c>
      <x:c r="E316" s="25" t="n">
        <x:v>5</x:v>
      </x:c>
      <x:c r="F316" s="26" t="n">
        <x:f>IF(B316="","",IFERROR(VLOOKUP(TRIM(B316),'Giá cước'!$A$2:$D$7,4,FALSE),"Không tìm thấy mã cước"))</x:f>
        <x:v>13000</x:v>
      </x:c>
      <x:c r="G316" s="26" t="n">
        <x:f>IF(OR(B316="",E316=""),"",IFERROR(E316*F316,""))</x:f>
        <x:v>65000</x:v>
      </x:c>
      <x:c r="H316" s="24" t="str">
        <x:f>IF(B316="","",IF(ISNUMBER(F316),"OK","Cần kiểm tra"))</x:f>
        <x:v>OK</x:v>
      </x:c>
    </x:row>
    <x:row r="317" ht="21" customHeight="1">
      <x:c r="A317" s="24" t="str">
        <x:v>FM-2026-0316</x:v>
      </x:c>
      <x:c r="B317" s="24" t="str">
        <x:v>HCM_LT</x:v>
      </x:c>
      <x:c r="C317" s="21" t="str">
        <x:v>Đỗ Khang 316</x:v>
      </x:c>
      <x:c r="D317" s="21" t="str">
        <x:v>TP. Hồ Chí Minh liên tỉnh</x:v>
      </x:c>
      <x:c r="E317" s="25" t="n">
        <x:v>5.7</x:v>
      </x:c>
      <x:c r="F317" s="26" t="n">
        <x:f>IF(B317="","",IFERROR(VLOOKUP(TRIM(B317),'Giá cước'!$A$2:$D$7,4,FALSE),"Không tìm thấy mã cước"))</x:f>
        <x:v>19500</x:v>
      </x:c>
      <x:c r="G317" s="26" t="n">
        <x:f>IF(OR(B317="",E317=""),"",IFERROR(E317*F317,""))</x:f>
        <x:v>111150</x:v>
      </x:c>
      <x:c r="H317" s="24" t="str">
        <x:f>IF(B317="","",IF(ISNUMBER(F317),"OK","Cần kiểm tra"))</x:f>
        <x:v>OK</x:v>
      </x:c>
    </x:row>
    <x:row r="318" ht="21" customHeight="1">
      <x:c r="A318" s="24" t="str">
        <x:v>FM-2026-0317</x:v>
      </x:c>
      <x:c r="B318" s="24" t="str">
        <x:v>MIEN_TAY</x:v>
      </x:c>
      <x:c r="C318" s="21" t="str">
        <x:v>Bùi Lan 317</x:v>
      </x:c>
      <x:c r="D318" s="21" t="str">
        <x:v>Miền Tây</x:v>
      </x:c>
      <x:c r="E318" s="25" t="n">
        <x:v>6.4</x:v>
      </x:c>
      <x:c r="F318" s="26" t="n">
        <x:f>IF(B318="","",IFERROR(VLOOKUP(TRIM(B318),'Giá cước'!$A$2:$D$7,4,FALSE),"Không tìm thấy mã cước"))</x:f>
        <x:v>22000</x:v>
      </x:c>
      <x:c r="G318" s="26" t="n">
        <x:f>IF(OR(B318="",E318=""),"",IFERROR(E318*F318,""))</x:f>
        <x:v>140800</x:v>
      </x:c>
      <x:c r="H318" s="24" t="str">
        <x:f>IF(B318="","",IF(ISNUMBER(F318),"OK","Cần kiểm tra"))</x:f>
        <x:v>OK</x:v>
      </x:c>
    </x:row>
    <x:row r="319" ht="21" customHeight="1">
      <x:c r="A319" s="24" t="str">
        <x:v>FM-2026-0318</x:v>
      </x:c>
      <x:c r="B319" s="24" t="str">
        <x:v>MIEN_NUI</x:v>
      </x:c>
      <x:c r="C319" s="21" t="str">
        <x:v>Hoàng Minh 318</x:v>
      </x:c>
      <x:c r="D319" s="21" t="str">
        <x:v>Miền núi</x:v>
      </x:c>
      <x:c r="E319" s="25" t="n">
        <x:v>7.1</x:v>
      </x:c>
      <x:c r="F319" s="26" t="n">
        <x:f>IF(B319="","",IFERROR(VLOOKUP(TRIM(B319),'Giá cước'!$A$2:$D$7,4,FALSE),"Không tìm thấy mã cước"))</x:f>
        <x:v>27000</x:v>
      </x:c>
      <x:c r="G319" s="26" t="n">
        <x:f>IF(OR(B319="",E319=""),"",IFERROR(E319*F319,""))</x:f>
        <x:v>191700</x:v>
      </x:c>
      <x:c r="H319" s="24" t="str">
        <x:f>IF(B319="","",IF(ISNUMBER(F319),"OK","Cần kiểm tra"))</x:f>
        <x:v>OK</x:v>
      </x:c>
    </x:row>
    <x:row r="320" ht="21" customHeight="1">
      <x:c r="A320" s="24" t="str">
        <x:v>FM-2026-0319</x:v>
      </x:c>
      <x:c r="B320" s="24" t="str">
        <x:v>HN_NT</x:v>
      </x:c>
      <x:c r="C320" s="21" t="str">
        <x:v>Phan Ngọc 319</x:v>
      </x:c>
      <x:c r="D320" s="21" t="str">
        <x:v>Hà Nội nội thành</x:v>
      </x:c>
      <x:c r="E320" s="25" t="n">
        <x:v>7.8</x:v>
      </x:c>
      <x:c r="F320" s="26" t="n">
        <x:f>IF(B320="","",IFERROR(VLOOKUP(TRIM(B320),'Giá cước'!$A$2:$D$7,4,FALSE),"Không tìm thấy mã cước"))</x:f>
        <x:v>12000</x:v>
      </x:c>
      <x:c r="G320" s="26" t="n">
        <x:f>IF(OR(B320="",E320=""),"",IFERROR(E320*F320,""))</x:f>
        <x:v>93600</x:v>
      </x:c>
      <x:c r="H320" s="24" t="str">
        <x:f>IF(B320="","",IF(ISNUMBER(F320),"OK","Cần kiểm tra"))</x:f>
        <x:v>OK</x:v>
      </x:c>
    </x:row>
    <x:row r="321" ht="21" customHeight="1">
      <x:c r="A321" s="24" t="str">
        <x:v>FM-2026-0320</x:v>
      </x:c>
      <x:c r="B321" s="24" t="str">
        <x:v>HN_LT</x:v>
      </x:c>
      <x:c r="C321" s="21" t="str">
        <x:v>Đặng Quân 320</x:v>
      </x:c>
      <x:c r="D321" s="21" t="str">
        <x:v>Hà Nội liên tỉnh</x:v>
      </x:c>
      <x:c r="E321" s="25" t="n">
        <x:v>8.5</x:v>
      </x:c>
      <x:c r="F321" s="26" t="n">
        <x:f>IF(B321="","",IFERROR(VLOOKUP(TRIM(B321),'Giá cước'!$A$2:$D$7,4,FALSE),"Không tìm thấy mã cước"))</x:f>
        <x:v>18000</x:v>
      </x:c>
      <x:c r="G321" s="26" t="n">
        <x:f>IF(OR(B321="",E321=""),"",IFERROR(E321*F321,""))</x:f>
        <x:v>153000</x:v>
      </x:c>
      <x:c r="H321" s="24" t="str">
        <x:f>IF(B321="","",IF(ISNUMBER(F321),"OK","Cần kiểm tra"))</x:f>
        <x:v>OK</x:v>
      </x:c>
    </x:row>
    <x:row r="322" ht="21" customHeight="1">
      <x:c r="A322" s="24" t="str">
        <x:v>FM-2026-0321</x:v>
      </x:c>
      <x:c r="B322" s="24" t="str">
        <x:v>HCM_NT</x:v>
      </x:c>
      <x:c r="C322" s="21" t="str">
        <x:v>Nguyễn An 321</x:v>
      </x:c>
      <x:c r="D322" s="21" t="str">
        <x:v>TP. Hồ Chí Minh nội thành</x:v>
      </x:c>
      <x:c r="E322" s="25" t="n">
        <x:v>9.2</x:v>
      </x:c>
      <x:c r="F322" s="26" t="n">
        <x:f>IF(B322="","",IFERROR(VLOOKUP(TRIM(B322),'Giá cước'!$A$2:$D$7,4,FALSE),"Không tìm thấy mã cước"))</x:f>
        <x:v>13000</x:v>
      </x:c>
      <x:c r="G322" s="26" t="n">
        <x:f>IF(OR(B322="",E322=""),"",IFERROR(E322*F322,""))</x:f>
        <x:v>119599.99999999999</x:v>
      </x:c>
      <x:c r="H322" s="24" t="str">
        <x:f>IF(B322="","",IF(ISNUMBER(F322),"OK","Cần kiểm tra"))</x:f>
        <x:v>OK</x:v>
      </x:c>
    </x:row>
    <x:row r="323" ht="21" customHeight="1">
      <x:c r="A323" s="24" t="str">
        <x:v>FM-2026-0322</x:v>
      </x:c>
      <x:c r="B323" s="24" t="str">
        <x:v>HCM_LT</x:v>
      </x:c>
      <x:c r="C323" s="21" t="str">
        <x:v>Trần Bình 322</x:v>
      </x:c>
      <x:c r="D323" s="21" t="str">
        <x:v>TP. Hồ Chí Minh liên tỉnh</x:v>
      </x:c>
      <x:c r="E323" s="25" t="n">
        <x:v>9.9</x:v>
      </x:c>
      <x:c r="F323" s="26" t="n">
        <x:f>IF(B323="","",IFERROR(VLOOKUP(TRIM(B323),'Giá cước'!$A$2:$D$7,4,FALSE),"Không tìm thấy mã cước"))</x:f>
        <x:v>19500</x:v>
      </x:c>
      <x:c r="G323" s="26" t="n">
        <x:f>IF(OR(B323="",E323=""),"",IFERROR(E323*F323,""))</x:f>
        <x:v>193050</x:v>
      </x:c>
      <x:c r="H323" s="24" t="str">
        <x:f>IF(B323="","",IF(ISNUMBER(F323),"OK","Cần kiểm tra"))</x:f>
        <x:v>OK</x:v>
      </x:c>
    </x:row>
    <x:row r="324" ht="21" customHeight="1">
      <x:c r="A324" s="24" t="str">
        <x:v>FM-2026-0323</x:v>
      </x:c>
      <x:c r="B324" s="24" t="str">
        <x:v>MIEN_TAY</x:v>
      </x:c>
      <x:c r="C324" s="21" t="str">
        <x:v>Lê Chi 323</x:v>
      </x:c>
      <x:c r="D324" s="21" t="str">
        <x:v>Miền Tây</x:v>
      </x:c>
      <x:c r="E324" s="25" t="n">
        <x:v>10.6</x:v>
      </x:c>
      <x:c r="F324" s="26" t="n">
        <x:f>IF(B324="","",IFERROR(VLOOKUP(TRIM(B324),'Giá cước'!$A$2:$D$7,4,FALSE),"Không tìm thấy mã cước"))</x:f>
        <x:v>22000</x:v>
      </x:c>
      <x:c r="G324" s="26" t="n">
        <x:f>IF(OR(B324="",E324=""),"",IFERROR(E324*F324,""))</x:f>
        <x:v>233200</x:v>
      </x:c>
      <x:c r="H324" s="24" t="str">
        <x:f>IF(B324="","",IF(ISNUMBER(F324),"OK","Cần kiểm tra"))</x:f>
        <x:v>OK</x:v>
      </x:c>
    </x:row>
    <x:row r="325" ht="21" customHeight="1">
      <x:c r="A325" s="24" t="str">
        <x:v>FM-2026-0324</x:v>
      </x:c>
      <x:c r="B325" s="24" t="str">
        <x:v>MIEN_NUI</x:v>
      </x:c>
      <x:c r="C325" s="21" t="str">
        <x:v>Phạm Duy 324</x:v>
      </x:c>
      <x:c r="D325" s="21" t="str">
        <x:v>Miền núi</x:v>
      </x:c>
      <x:c r="E325" s="25" t="n">
        <x:v>11.3</x:v>
      </x:c>
      <x:c r="F325" s="26" t="n">
        <x:f>IF(B325="","",IFERROR(VLOOKUP(TRIM(B325),'Giá cước'!$A$2:$D$7,4,FALSE),"Không tìm thấy mã cước"))</x:f>
        <x:v>27000</x:v>
      </x:c>
      <x:c r="G325" s="26" t="n">
        <x:f>IF(OR(B325="",E325=""),"",IFERROR(E325*F325,""))</x:f>
        <x:v>305100</x:v>
      </x:c>
      <x:c r="H325" s="24" t="str">
        <x:f>IF(B325="","",IF(ISNUMBER(F325),"OK","Cần kiểm tra"))</x:f>
        <x:v>OK</x:v>
      </x:c>
    </x:row>
    <x:row r="326" ht="21" customHeight="1">
      <x:c r="A326" s="24" t="str">
        <x:v>FM-2026-0325</x:v>
      </x:c>
      <x:c r="B326" s="24" t="str">
        <x:v>HN_NT</x:v>
      </x:c>
      <x:c r="C326" s="21" t="str">
        <x:v>Võ Hà 325</x:v>
      </x:c>
      <x:c r="D326" s="21" t="str">
        <x:v>Hà Nội nội thành</x:v>
      </x:c>
      <x:c r="E326" s="25" t="n">
        <x:v>12</x:v>
      </x:c>
      <x:c r="F326" s="26" t="n">
        <x:f>IF(B326="","",IFERROR(VLOOKUP(TRIM(B326),'Giá cước'!$A$2:$D$7,4,FALSE),"Không tìm thấy mã cước"))</x:f>
        <x:v>12000</x:v>
      </x:c>
      <x:c r="G326" s="26" t="n">
        <x:f>IF(OR(B326="",E326=""),"",IFERROR(E326*F326,""))</x:f>
        <x:v>144000</x:v>
      </x:c>
      <x:c r="H326" s="24" t="str">
        <x:f>IF(B326="","",IF(ISNUMBER(F326),"OK","Cần kiểm tra"))</x:f>
        <x:v>OK</x:v>
      </x:c>
    </x:row>
    <x:row r="327" ht="21" customHeight="1">
      <x:c r="A327" s="24" t="str">
        <x:v>FM-2026-0326</x:v>
      </x:c>
      <x:c r="B327" s="24" t="str">
        <x:v>HN_LT</x:v>
      </x:c>
      <x:c r="C327" s="21" t="str">
        <x:v>Đỗ Khang 326</x:v>
      </x:c>
      <x:c r="D327" s="21" t="str">
        <x:v>Hà Nội liên tỉnh</x:v>
      </x:c>
      <x:c r="E327" s="25" t="n">
        <x:v>0.7</x:v>
      </x:c>
      <x:c r="F327" s="26" t="n">
        <x:f>IF(B327="","",IFERROR(VLOOKUP(TRIM(B327),'Giá cước'!$A$2:$D$7,4,FALSE),"Không tìm thấy mã cước"))</x:f>
        <x:v>18000</x:v>
      </x:c>
      <x:c r="G327" s="26" t="n">
        <x:f>IF(OR(B327="",E327=""),"",IFERROR(E327*F327,""))</x:f>
        <x:v>12600</x:v>
      </x:c>
      <x:c r="H327" s="24" t="str">
        <x:f>IF(B327="","",IF(ISNUMBER(F327),"OK","Cần kiểm tra"))</x:f>
        <x:v>OK</x:v>
      </x:c>
    </x:row>
    <x:row r="328" ht="21" customHeight="1">
      <x:c r="A328" s="24" t="str">
        <x:v>FM-2026-0327</x:v>
      </x:c>
      <x:c r="B328" s="24" t="str">
        <x:v>HCM_NT</x:v>
      </x:c>
      <x:c r="C328" s="21" t="str">
        <x:v>Bùi Lan 327</x:v>
      </x:c>
      <x:c r="D328" s="21" t="str">
        <x:v>TP. Hồ Chí Minh nội thành</x:v>
      </x:c>
      <x:c r="E328" s="25" t="n">
        <x:v>1.4</x:v>
      </x:c>
      <x:c r="F328" s="26" t="n">
        <x:f>IF(B328="","",IFERROR(VLOOKUP(TRIM(B328),'Giá cước'!$A$2:$D$7,4,FALSE),"Không tìm thấy mã cước"))</x:f>
        <x:v>13000</x:v>
      </x:c>
      <x:c r="G328" s="26" t="n">
        <x:f>IF(OR(B328="",E328=""),"",IFERROR(E328*F328,""))</x:f>
        <x:v>18200</x:v>
      </x:c>
      <x:c r="H328" s="24" t="str">
        <x:f>IF(B328="","",IF(ISNUMBER(F328),"OK","Cần kiểm tra"))</x:f>
        <x:v>OK</x:v>
      </x:c>
    </x:row>
    <x:row r="329" ht="21" customHeight="1">
      <x:c r="A329" s="24" t="str">
        <x:v>FM-2026-0328</x:v>
      </x:c>
      <x:c r="B329" s="24" t="str">
        <x:v>HCM_LT</x:v>
      </x:c>
      <x:c r="C329" s="21" t="str">
        <x:v>Hoàng Minh 328</x:v>
      </x:c>
      <x:c r="D329" s="21" t="str">
        <x:v>TP. Hồ Chí Minh liên tỉnh</x:v>
      </x:c>
      <x:c r="E329" s="25" t="n">
        <x:v>2.1</x:v>
      </x:c>
      <x:c r="F329" s="26" t="n">
        <x:f>IF(B329="","",IFERROR(VLOOKUP(TRIM(B329),'Giá cước'!$A$2:$D$7,4,FALSE),"Không tìm thấy mã cước"))</x:f>
        <x:v>19500</x:v>
      </x:c>
      <x:c r="G329" s="26" t="n">
        <x:f>IF(OR(B329="",E329=""),"",IFERROR(E329*F329,""))</x:f>
        <x:v>40950</x:v>
      </x:c>
      <x:c r="H329" s="24" t="str">
        <x:f>IF(B329="","",IF(ISNUMBER(F329),"OK","Cần kiểm tra"))</x:f>
        <x:v>OK</x:v>
      </x:c>
    </x:row>
    <x:row r="330" ht="21" customHeight="1">
      <x:c r="A330" s="24" t="str">
        <x:v>FM-2026-0329</x:v>
      </x:c>
      <x:c r="B330" s="24" t="str">
        <x:v>MIEN_TAY</x:v>
      </x:c>
      <x:c r="C330" s="21" t="str">
        <x:v>Phan Ngọc 329</x:v>
      </x:c>
      <x:c r="D330" s="21" t="str">
        <x:v>Miền Tây</x:v>
      </x:c>
      <x:c r="E330" s="25" t="n">
        <x:v>2.8</x:v>
      </x:c>
      <x:c r="F330" s="26" t="n">
        <x:f>IF(B330="","",IFERROR(VLOOKUP(TRIM(B330),'Giá cước'!$A$2:$D$7,4,FALSE),"Không tìm thấy mã cước"))</x:f>
        <x:v>22000</x:v>
      </x:c>
      <x:c r="G330" s="26" t="n">
        <x:f>IF(OR(B330="",E330=""),"",IFERROR(E330*F330,""))</x:f>
        <x:v>61599.99999999999</x:v>
      </x:c>
      <x:c r="H330" s="24" t="str">
        <x:f>IF(B330="","",IF(ISNUMBER(F330),"OK","Cần kiểm tra"))</x:f>
        <x:v>OK</x:v>
      </x:c>
    </x:row>
    <x:row r="331" ht="21" customHeight="1">
      <x:c r="A331" s="24" t="str">
        <x:v>FM-2026-0330</x:v>
      </x:c>
      <x:c r="B331" s="24" t="str">
        <x:v>MIEN_NUI</x:v>
      </x:c>
      <x:c r="C331" s="21" t="str">
        <x:v>Đặng Quân 330</x:v>
      </x:c>
      <x:c r="D331" s="21" t="str">
        <x:v>Miền núi</x:v>
      </x:c>
      <x:c r="E331" s="25" t="n">
        <x:v>3.5</x:v>
      </x:c>
      <x:c r="F331" s="26" t="n">
        <x:f>IF(B331="","",IFERROR(VLOOKUP(TRIM(B331),'Giá cước'!$A$2:$D$7,4,FALSE),"Không tìm thấy mã cước"))</x:f>
        <x:v>27000</x:v>
      </x:c>
      <x:c r="G331" s="26" t="n">
        <x:f>IF(OR(B331="",E331=""),"",IFERROR(E331*F331,""))</x:f>
        <x:v>94500</x:v>
      </x:c>
      <x:c r="H331" s="24" t="str">
        <x:f>IF(B331="","",IF(ISNUMBER(F331),"OK","Cần kiểm tra"))</x:f>
        <x:v>OK</x:v>
      </x:c>
    </x:row>
    <x:row r="332" ht="21" customHeight="1">
      <x:c r="A332" s="24" t="str">
        <x:v>FM-2026-0331</x:v>
      </x:c>
      <x:c r="B332" s="24" t="str">
        <x:v>HN_NT</x:v>
      </x:c>
      <x:c r="C332" s="21" t="str">
        <x:v>Nguyễn An 331</x:v>
      </x:c>
      <x:c r="D332" s="21" t="str">
        <x:v>Hà Nội nội thành</x:v>
      </x:c>
      <x:c r="E332" s="25" t="n">
        <x:v>4.2</x:v>
      </x:c>
      <x:c r="F332" s="26" t="n">
        <x:f>IF(B332="","",IFERROR(VLOOKUP(TRIM(B332),'Giá cước'!$A$2:$D$7,4,FALSE),"Không tìm thấy mã cước"))</x:f>
        <x:v>12000</x:v>
      </x:c>
      <x:c r="G332" s="26" t="n">
        <x:f>IF(OR(B332="",E332=""),"",IFERROR(E332*F332,""))</x:f>
        <x:v>50400</x:v>
      </x:c>
      <x:c r="H332" s="24" t="str">
        <x:f>IF(B332="","",IF(ISNUMBER(F332),"OK","Cần kiểm tra"))</x:f>
        <x:v>OK</x:v>
      </x:c>
    </x:row>
    <x:row r="333" ht="21" customHeight="1">
      <x:c r="A333" s="24" t="str">
        <x:v>FM-2026-0332</x:v>
      </x:c>
      <x:c r="B333" s="24" t="str">
        <x:v>HN_LT</x:v>
      </x:c>
      <x:c r="C333" s="21" t="str">
        <x:v>Trần Bình 332</x:v>
      </x:c>
      <x:c r="D333" s="21" t="str">
        <x:v>Hà Nội liên tỉnh</x:v>
      </x:c>
      <x:c r="E333" s="25" t="n">
        <x:v>4.9</x:v>
      </x:c>
      <x:c r="F333" s="26" t="n">
        <x:f>IF(B333="","",IFERROR(VLOOKUP(TRIM(B333),'Giá cước'!$A$2:$D$7,4,FALSE),"Không tìm thấy mã cước"))</x:f>
        <x:v>18000</x:v>
      </x:c>
      <x:c r="G333" s="26" t="n">
        <x:f>IF(OR(B333="",E333=""),"",IFERROR(E333*F333,""))</x:f>
        <x:v>88200</x:v>
      </x:c>
      <x:c r="H333" s="24" t="str">
        <x:f>IF(B333="","",IF(ISNUMBER(F333),"OK","Cần kiểm tra"))</x:f>
        <x:v>OK</x:v>
      </x:c>
    </x:row>
    <x:row r="334" ht="21" customHeight="1">
      <x:c r="A334" s="24" t="str">
        <x:v>FM-2026-0333</x:v>
      </x:c>
      <x:c r="B334" s="24" t="str">
        <x:v>HCM_NT</x:v>
      </x:c>
      <x:c r="C334" s="21" t="str">
        <x:v>Lê Chi 333</x:v>
      </x:c>
      <x:c r="D334" s="21" t="str">
        <x:v>TP. Hồ Chí Minh nội thành</x:v>
      </x:c>
      <x:c r="E334" s="25" t="n">
        <x:v>5.6</x:v>
      </x:c>
      <x:c r="F334" s="26" t="n">
        <x:f>IF(B334="","",IFERROR(VLOOKUP(TRIM(B334),'Giá cước'!$A$2:$D$7,4,FALSE),"Không tìm thấy mã cước"))</x:f>
        <x:v>13000</x:v>
      </x:c>
      <x:c r="G334" s="26" t="n">
        <x:f>IF(OR(B334="",E334=""),"",IFERROR(E334*F334,""))</x:f>
        <x:v>72800</x:v>
      </x:c>
      <x:c r="H334" s="24" t="str">
        <x:f>IF(B334="","",IF(ISNUMBER(F334),"OK","Cần kiểm tra"))</x:f>
        <x:v>OK</x:v>
      </x:c>
    </x:row>
    <x:row r="335" ht="21" customHeight="1">
      <x:c r="A335" s="24" t="str">
        <x:v>FM-2026-0334</x:v>
      </x:c>
      <x:c r="B335" s="24" t="str">
        <x:v>HCM_LT</x:v>
      </x:c>
      <x:c r="C335" s="21" t="str">
        <x:v>Phạm Duy 334</x:v>
      </x:c>
      <x:c r="D335" s="21" t="str">
        <x:v>TP. Hồ Chí Minh liên tỉnh</x:v>
      </x:c>
      <x:c r="E335" s="25" t="n">
        <x:v>6.3</x:v>
      </x:c>
      <x:c r="F335" s="26" t="n">
        <x:f>IF(B335="","",IFERROR(VLOOKUP(TRIM(B335),'Giá cước'!$A$2:$D$7,4,FALSE),"Không tìm thấy mã cước"))</x:f>
        <x:v>19500</x:v>
      </x:c>
      <x:c r="G335" s="26" t="n">
        <x:f>IF(OR(B335="",E335=""),"",IFERROR(E335*F335,""))</x:f>
        <x:v>122850</x:v>
      </x:c>
      <x:c r="H335" s="24" t="str">
        <x:f>IF(B335="","",IF(ISNUMBER(F335),"OK","Cần kiểm tra"))</x:f>
        <x:v>OK</x:v>
      </x:c>
    </x:row>
    <x:row r="336" ht="21" customHeight="1">
      <x:c r="A336" s="24" t="str">
        <x:v>FM-2026-0335</x:v>
      </x:c>
      <x:c r="B336" s="24" t="str">
        <x:v>MIEN_TAY</x:v>
      </x:c>
      <x:c r="C336" s="21" t="str">
        <x:v>Võ Hà 335</x:v>
      </x:c>
      <x:c r="D336" s="21" t="str">
        <x:v>Miền Tây</x:v>
      </x:c>
      <x:c r="E336" s="25" t="n">
        <x:v>7</x:v>
      </x:c>
      <x:c r="F336" s="26" t="n">
        <x:f>IF(B336="","",IFERROR(VLOOKUP(TRIM(B336),'Giá cước'!$A$2:$D$7,4,FALSE),"Không tìm thấy mã cước"))</x:f>
        <x:v>22000</x:v>
      </x:c>
      <x:c r="G336" s="26" t="n">
        <x:f>IF(OR(B336="",E336=""),"",IFERROR(E336*F336,""))</x:f>
        <x:v>154000</x:v>
      </x:c>
      <x:c r="H336" s="24" t="str">
        <x:f>IF(B336="","",IF(ISNUMBER(F336),"OK","Cần kiểm tra"))</x:f>
        <x:v>OK</x:v>
      </x:c>
    </x:row>
    <x:row r="337" ht="21" customHeight="1">
      <x:c r="A337" s="24" t="str">
        <x:v>FM-2026-0336</x:v>
      </x:c>
      <x:c r="B337" s="24" t="str">
        <x:v>MIEN_NUI</x:v>
      </x:c>
      <x:c r="C337" s="21" t="str">
        <x:v>Đỗ Khang 336</x:v>
      </x:c>
      <x:c r="D337" s="21" t="str">
        <x:v>Miền núi</x:v>
      </x:c>
      <x:c r="E337" s="25" t="n">
        <x:v>7.7</x:v>
      </x:c>
      <x:c r="F337" s="26" t="n">
        <x:f>IF(B337="","",IFERROR(VLOOKUP(TRIM(B337),'Giá cước'!$A$2:$D$7,4,FALSE),"Không tìm thấy mã cước"))</x:f>
        <x:v>27000</x:v>
      </x:c>
      <x:c r="G337" s="26" t="n">
        <x:f>IF(OR(B337="",E337=""),"",IFERROR(E337*F337,""))</x:f>
        <x:v>207900</x:v>
      </x:c>
      <x:c r="H337" s="24" t="str">
        <x:f>IF(B337="","",IF(ISNUMBER(F337),"OK","Cần kiểm tra"))</x:f>
        <x:v>OK</x:v>
      </x:c>
    </x:row>
    <x:row r="338" ht="21" customHeight="1">
      <x:c r="A338" s="24" t="str">
        <x:v>FM-2026-0337</x:v>
      </x:c>
      <x:c r="B338" s="24" t="str">
        <x:v>HN_NT</x:v>
      </x:c>
      <x:c r="C338" s="21" t="str">
        <x:v>Bùi Lan 337</x:v>
      </x:c>
      <x:c r="D338" s="21" t="str">
        <x:v>Hà Nội nội thành</x:v>
      </x:c>
      <x:c r="E338" s="25" t="n">
        <x:v>8.4</x:v>
      </x:c>
      <x:c r="F338" s="26" t="n">
        <x:f>IF(B338="","",IFERROR(VLOOKUP(TRIM(B338),'Giá cước'!$A$2:$D$7,4,FALSE),"Không tìm thấy mã cước"))</x:f>
        <x:v>12000</x:v>
      </x:c>
      <x:c r="G338" s="26" t="n">
        <x:f>IF(OR(B338="",E338=""),"",IFERROR(E338*F338,""))</x:f>
        <x:v>100800</x:v>
      </x:c>
      <x:c r="H338" s="24" t="str">
        <x:f>IF(B338="","",IF(ISNUMBER(F338),"OK","Cần kiểm tra"))</x:f>
        <x:v>OK</x:v>
      </x:c>
    </x:row>
    <x:row r="339" ht="21" customHeight="1">
      <x:c r="A339" s="24" t="str">
        <x:v>FM-2026-0338</x:v>
      </x:c>
      <x:c r="B339" s="24" t="str">
        <x:v>HN_LT</x:v>
      </x:c>
      <x:c r="C339" s="21" t="str">
        <x:v>Hoàng Minh 338</x:v>
      </x:c>
      <x:c r="D339" s="21" t="str">
        <x:v>Hà Nội liên tỉnh</x:v>
      </x:c>
      <x:c r="E339" s="25" t="n">
        <x:v>9.1</x:v>
      </x:c>
      <x:c r="F339" s="26" t="n">
        <x:f>IF(B339="","",IFERROR(VLOOKUP(TRIM(B339),'Giá cước'!$A$2:$D$7,4,FALSE),"Không tìm thấy mã cước"))</x:f>
        <x:v>18000</x:v>
      </x:c>
      <x:c r="G339" s="26" t="n">
        <x:f>IF(OR(B339="",E339=""),"",IFERROR(E339*F339,""))</x:f>
        <x:v>163800</x:v>
      </x:c>
      <x:c r="H339" s="24" t="str">
        <x:f>IF(B339="","",IF(ISNUMBER(F339),"OK","Cần kiểm tra"))</x:f>
        <x:v>OK</x:v>
      </x:c>
    </x:row>
    <x:row r="340" ht="21" customHeight="1">
      <x:c r="A340" s="24" t="str">
        <x:v>FM-2026-0339</x:v>
      </x:c>
      <x:c r="B340" s="24" t="str">
        <x:v>HCM_NT</x:v>
      </x:c>
      <x:c r="C340" s="21" t="str">
        <x:v>Phan Ngọc 339</x:v>
      </x:c>
      <x:c r="D340" s="21" t="str">
        <x:v>TP. Hồ Chí Minh nội thành</x:v>
      </x:c>
      <x:c r="E340" s="25" t="n">
        <x:v>9.8</x:v>
      </x:c>
      <x:c r="F340" s="26" t="n">
        <x:f>IF(B340="","",IFERROR(VLOOKUP(TRIM(B340),'Giá cước'!$A$2:$D$7,4,FALSE),"Không tìm thấy mã cước"))</x:f>
        <x:v>13000</x:v>
      </x:c>
      <x:c r="G340" s="26" t="n">
        <x:f>IF(OR(B340="",E340=""),"",IFERROR(E340*F340,""))</x:f>
        <x:v>127400.00000000001</x:v>
      </x:c>
      <x:c r="H340" s="24" t="str">
        <x:f>IF(B340="","",IF(ISNUMBER(F340),"OK","Cần kiểm tra"))</x:f>
        <x:v>OK</x:v>
      </x:c>
    </x:row>
    <x:row r="341" ht="21" customHeight="1">
      <x:c r="A341" s="24" t="str">
        <x:v>FM-2026-0340</x:v>
      </x:c>
      <x:c r="B341" s="24" t="str">
        <x:v>HCM_LT</x:v>
      </x:c>
      <x:c r="C341" s="21" t="str">
        <x:v>Đặng Quân 340</x:v>
      </x:c>
      <x:c r="D341" s="21" t="str">
        <x:v>TP. Hồ Chí Minh liên tỉnh</x:v>
      </x:c>
      <x:c r="E341" s="25" t="n">
        <x:v>10.5</x:v>
      </x:c>
      <x:c r="F341" s="26" t="n">
        <x:f>IF(B341="","",IFERROR(VLOOKUP(TRIM(B341),'Giá cước'!$A$2:$D$7,4,FALSE),"Không tìm thấy mã cước"))</x:f>
        <x:v>19500</x:v>
      </x:c>
      <x:c r="G341" s="26" t="n">
        <x:f>IF(OR(B341="",E341=""),"",IFERROR(E341*F341,""))</x:f>
        <x:v>204750</x:v>
      </x:c>
      <x:c r="H341" s="24" t="str">
        <x:f>IF(B341="","",IF(ISNUMBER(F341),"OK","Cần kiểm tra"))</x:f>
        <x:v>OK</x:v>
      </x:c>
    </x:row>
    <x:row r="342" ht="21" customHeight="1">
      <x:c r="A342" s="24" t="str">
        <x:v>FM-2026-0341</x:v>
      </x:c>
      <x:c r="B342" s="24" t="str">
        <x:v>MIEN_TAY</x:v>
      </x:c>
      <x:c r="C342" s="21" t="str">
        <x:v>Nguyễn An 341</x:v>
      </x:c>
      <x:c r="D342" s="21" t="str">
        <x:v>Miền Tây</x:v>
      </x:c>
      <x:c r="E342" s="25" t="n">
        <x:v>11.2</x:v>
      </x:c>
      <x:c r="F342" s="26" t="n">
        <x:f>IF(B342="","",IFERROR(VLOOKUP(TRIM(B342),'Giá cước'!$A$2:$D$7,4,FALSE),"Không tìm thấy mã cước"))</x:f>
        <x:v>22000</x:v>
      </x:c>
      <x:c r="G342" s="26" t="n">
        <x:f>IF(OR(B342="",E342=""),"",IFERROR(E342*F342,""))</x:f>
        <x:v>246399.99999999997</x:v>
      </x:c>
      <x:c r="H342" s="24" t="str">
        <x:f>IF(B342="","",IF(ISNUMBER(F342),"OK","Cần kiểm tra"))</x:f>
        <x:v>OK</x:v>
      </x:c>
    </x:row>
    <x:row r="343" ht="21" customHeight="1">
      <x:c r="A343" s="24" t="str">
        <x:v>FM-2026-0342</x:v>
      </x:c>
      <x:c r="B343" s="24" t="str">
        <x:v>MIEN_NUI</x:v>
      </x:c>
      <x:c r="C343" s="21" t="str">
        <x:v>Trần Bình 342</x:v>
      </x:c>
      <x:c r="D343" s="21" t="str">
        <x:v>Miền núi</x:v>
      </x:c>
      <x:c r="E343" s="25" t="n">
        <x:v>11.9</x:v>
      </x:c>
      <x:c r="F343" s="26" t="n">
        <x:f>IF(B343="","",IFERROR(VLOOKUP(TRIM(B343),'Giá cước'!$A$2:$D$7,4,FALSE),"Không tìm thấy mã cước"))</x:f>
        <x:v>27000</x:v>
      </x:c>
      <x:c r="G343" s="26" t="n">
        <x:f>IF(OR(B343="",E343=""),"",IFERROR(E343*F343,""))</x:f>
        <x:v>321300</x:v>
      </x:c>
      <x:c r="H343" s="24" t="str">
        <x:f>IF(B343="","",IF(ISNUMBER(F343),"OK","Cần kiểm tra"))</x:f>
        <x:v>OK</x:v>
      </x:c>
    </x:row>
    <x:row r="344" ht="21" customHeight="1">
      <x:c r="A344" s="24" t="str">
        <x:v>FM-2026-0343</x:v>
      </x:c>
      <x:c r="B344" s="24" t="str">
        <x:v>HN_NT</x:v>
      </x:c>
      <x:c r="C344" s="21" t="str">
        <x:v>Lê Chi 343</x:v>
      </x:c>
      <x:c r="D344" s="21" t="str">
        <x:v>Hà Nội nội thành</x:v>
      </x:c>
      <x:c r="E344" s="25" t="n">
        <x:v>0.6</x:v>
      </x:c>
      <x:c r="F344" s="26" t="n">
        <x:f>IF(B344="","",IFERROR(VLOOKUP(TRIM(B344),'Giá cước'!$A$2:$D$7,4,FALSE),"Không tìm thấy mã cước"))</x:f>
        <x:v>12000</x:v>
      </x:c>
      <x:c r="G344" s="26" t="n">
        <x:f>IF(OR(B344="",E344=""),"",IFERROR(E344*F344,""))</x:f>
        <x:v>7200</x:v>
      </x:c>
      <x:c r="H344" s="24" t="str">
        <x:f>IF(B344="","",IF(ISNUMBER(F344),"OK","Cần kiểm tra"))</x:f>
        <x:v>OK</x:v>
      </x:c>
    </x:row>
    <x:row r="345" ht="21" customHeight="1">
      <x:c r="A345" s="24" t="str">
        <x:v>FM-2026-0344</x:v>
      </x:c>
      <x:c r="B345" s="24" t="str">
        <x:v>HN_LT</x:v>
      </x:c>
      <x:c r="C345" s="21" t="str">
        <x:v>Phạm Duy 344</x:v>
      </x:c>
      <x:c r="D345" s="21" t="str">
        <x:v>Hà Nội liên tỉnh</x:v>
      </x:c>
      <x:c r="E345" s="25" t="n">
        <x:v>1.3</x:v>
      </x:c>
      <x:c r="F345" s="26" t="n">
        <x:f>IF(B345="","",IFERROR(VLOOKUP(TRIM(B345),'Giá cước'!$A$2:$D$7,4,FALSE),"Không tìm thấy mã cước"))</x:f>
        <x:v>18000</x:v>
      </x:c>
      <x:c r="G345" s="26" t="n">
        <x:f>IF(OR(B345="",E345=""),"",IFERROR(E345*F345,""))</x:f>
        <x:v>23400</x:v>
      </x:c>
      <x:c r="H345" s="24" t="str">
        <x:f>IF(B345="","",IF(ISNUMBER(F345),"OK","Cần kiểm tra"))</x:f>
        <x:v>OK</x:v>
      </x:c>
    </x:row>
    <x:row r="346" ht="21" customHeight="1">
      <x:c r="A346" s="24" t="str">
        <x:v>FM-2026-0345</x:v>
      </x:c>
      <x:c r="B346" s="24" t="str">
        <x:v>HCM_NT</x:v>
      </x:c>
      <x:c r="C346" s="21" t="str">
        <x:v>Võ Hà 345</x:v>
      </x:c>
      <x:c r="D346" s="21" t="str">
        <x:v>TP. Hồ Chí Minh nội thành</x:v>
      </x:c>
      <x:c r="E346" s="25" t="n">
        <x:v>2</x:v>
      </x:c>
      <x:c r="F346" s="26" t="n">
        <x:f>IF(B346="","",IFERROR(VLOOKUP(TRIM(B346),'Giá cước'!$A$2:$D$7,4,FALSE),"Không tìm thấy mã cước"))</x:f>
        <x:v>13000</x:v>
      </x:c>
      <x:c r="G346" s="26" t="n">
        <x:f>IF(OR(B346="",E346=""),"",IFERROR(E346*F346,""))</x:f>
        <x:v>26000</x:v>
      </x:c>
      <x:c r="H346" s="24" t="str">
        <x:f>IF(B346="","",IF(ISNUMBER(F346),"OK","Cần kiểm tra"))</x:f>
        <x:v>OK</x:v>
      </x:c>
    </x:row>
    <x:row r="347" ht="21" customHeight="1">
      <x:c r="A347" s="24" t="str">
        <x:v>FM-2026-0346</x:v>
      </x:c>
      <x:c r="B347" s="24" t="str">
        <x:v>HCM_LT</x:v>
      </x:c>
      <x:c r="C347" s="21" t="str">
        <x:v>Đỗ Khang 346</x:v>
      </x:c>
      <x:c r="D347" s="21" t="str">
        <x:v>TP. Hồ Chí Minh liên tỉnh</x:v>
      </x:c>
      <x:c r="E347" s="25" t="n">
        <x:v>2.7</x:v>
      </x:c>
      <x:c r="F347" s="26" t="n">
        <x:f>IF(B347="","",IFERROR(VLOOKUP(TRIM(B347),'Giá cước'!$A$2:$D$7,4,FALSE),"Không tìm thấy mã cước"))</x:f>
        <x:v>19500</x:v>
      </x:c>
      <x:c r="G347" s="26" t="n">
        <x:f>IF(OR(B347="",E347=""),"",IFERROR(E347*F347,""))</x:f>
        <x:v>52650</x:v>
      </x:c>
      <x:c r="H347" s="24" t="str">
        <x:f>IF(B347="","",IF(ISNUMBER(F347),"OK","Cần kiểm tra"))</x:f>
        <x:v>OK</x:v>
      </x:c>
    </x:row>
    <x:row r="348" ht="21" customHeight="1">
      <x:c r="A348" s="24" t="str">
        <x:v>FM-2026-0347</x:v>
      </x:c>
      <x:c r="B348" s="24" t="str">
        <x:v>MIEN_TAY</x:v>
      </x:c>
      <x:c r="C348" s="21" t="str">
        <x:v>Bùi Lan 347</x:v>
      </x:c>
      <x:c r="D348" s="21" t="str">
        <x:v>Miền Tây</x:v>
      </x:c>
      <x:c r="E348" s="25" t="n">
        <x:v>3.4</x:v>
      </x:c>
      <x:c r="F348" s="26" t="n">
        <x:f>IF(B348="","",IFERROR(VLOOKUP(TRIM(B348),'Giá cước'!$A$2:$D$7,4,FALSE),"Không tìm thấy mã cước"))</x:f>
        <x:v>22000</x:v>
      </x:c>
      <x:c r="G348" s="26" t="n">
        <x:f>IF(OR(B348="",E348=""),"",IFERROR(E348*F348,""))</x:f>
        <x:v>74800</x:v>
      </x:c>
      <x:c r="H348" s="24" t="str">
        <x:f>IF(B348="","",IF(ISNUMBER(F348),"OK","Cần kiểm tra"))</x:f>
        <x:v>OK</x:v>
      </x:c>
    </x:row>
    <x:row r="349" ht="21" customHeight="1">
      <x:c r="A349" s="24" t="str">
        <x:v>FM-2026-0348</x:v>
      </x:c>
      <x:c r="B349" s="24" t="str">
        <x:v>MIEN_NUI</x:v>
      </x:c>
      <x:c r="C349" s="21" t="str">
        <x:v>Hoàng Minh 348</x:v>
      </x:c>
      <x:c r="D349" s="21" t="str">
        <x:v>Miền núi</x:v>
      </x:c>
      <x:c r="E349" s="25" t="n">
        <x:v>4.1</x:v>
      </x:c>
      <x:c r="F349" s="26" t="n">
        <x:f>IF(B349="","",IFERROR(VLOOKUP(TRIM(B349),'Giá cước'!$A$2:$D$7,4,FALSE),"Không tìm thấy mã cước"))</x:f>
        <x:v>27000</x:v>
      </x:c>
      <x:c r="G349" s="26" t="n">
        <x:f>IF(OR(B349="",E349=""),"",IFERROR(E349*F349,""))</x:f>
        <x:v>110699.99999999999</x:v>
      </x:c>
      <x:c r="H349" s="24" t="str">
        <x:f>IF(B349="","",IF(ISNUMBER(F349),"OK","Cần kiểm tra"))</x:f>
        <x:v>OK</x:v>
      </x:c>
    </x:row>
    <x:row r="350" ht="21" customHeight="1">
      <x:c r="A350" s="24" t="str">
        <x:v>FM-2026-0349</x:v>
      </x:c>
      <x:c r="B350" s="24" t="str">
        <x:v>HN_NT</x:v>
      </x:c>
      <x:c r="C350" s="21" t="str">
        <x:v>Phan Ngọc 349</x:v>
      </x:c>
      <x:c r="D350" s="21" t="str">
        <x:v>Hà Nội nội thành</x:v>
      </x:c>
      <x:c r="E350" s="25" t="n">
        <x:v>4.8</x:v>
      </x:c>
      <x:c r="F350" s="26" t="n">
        <x:f>IF(B350="","",IFERROR(VLOOKUP(TRIM(B350),'Giá cước'!$A$2:$D$7,4,FALSE),"Không tìm thấy mã cước"))</x:f>
        <x:v>12000</x:v>
      </x:c>
      <x:c r="G350" s="26" t="n">
        <x:f>IF(OR(B350="",E350=""),"",IFERROR(E350*F350,""))</x:f>
        <x:v>57600</x:v>
      </x:c>
      <x:c r="H350" s="24" t="str">
        <x:f>IF(B350="","",IF(ISNUMBER(F350),"OK","Cần kiểm tra"))</x:f>
        <x:v>OK</x:v>
      </x:c>
    </x:row>
    <x:row r="351" ht="21" customHeight="1">
      <x:c r="A351" s="24" t="str">
        <x:v>FM-2026-0350</x:v>
      </x:c>
      <x:c r="B351" s="24" t="str">
        <x:v>HN_LT</x:v>
      </x:c>
      <x:c r="C351" s="21" t="str">
        <x:v>Đặng Quân 350</x:v>
      </x:c>
      <x:c r="D351" s="21" t="str">
        <x:v>Hà Nội liên tỉnh</x:v>
      </x:c>
      <x:c r="E351" s="25" t="n">
        <x:v>5.5</x:v>
      </x:c>
      <x:c r="F351" s="26" t="n">
        <x:f>IF(B351="","",IFERROR(VLOOKUP(TRIM(B351),'Giá cước'!$A$2:$D$7,4,FALSE),"Không tìm thấy mã cước"))</x:f>
        <x:v>18000</x:v>
      </x:c>
      <x:c r="G351" s="26" t="n">
        <x:f>IF(OR(B351="",E351=""),"",IFERROR(E351*F351,""))</x:f>
        <x:v>99000</x:v>
      </x:c>
      <x:c r="H351" s="24" t="str">
        <x:f>IF(B351="","",IF(ISNUMBER(F351),"OK","Cần kiểm tra"))</x:f>
        <x:v>OK</x:v>
      </x:c>
    </x:row>
    <x:row r="352" ht="21" customHeight="1">
      <x:c r="A352" s="24" t="str">
        <x:v>FM-2026-0351</x:v>
      </x:c>
      <x:c r="B352" s="24" t="str">
        <x:v>HCM_NT</x:v>
      </x:c>
      <x:c r="C352" s="21" t="str">
        <x:v>Nguyễn An 351</x:v>
      </x:c>
      <x:c r="D352" s="21" t="str">
        <x:v>TP. Hồ Chí Minh nội thành</x:v>
      </x:c>
      <x:c r="E352" s="25" t="n">
        <x:v>6.2</x:v>
      </x:c>
      <x:c r="F352" s="26" t="n">
        <x:f>IF(B352="","",IFERROR(VLOOKUP(TRIM(B352),'Giá cước'!$A$2:$D$7,4,FALSE),"Không tìm thấy mã cước"))</x:f>
        <x:v>13000</x:v>
      </x:c>
      <x:c r="G352" s="26" t="n">
        <x:f>IF(OR(B352="",E352=""),"",IFERROR(E352*F352,""))</x:f>
        <x:v>80600</x:v>
      </x:c>
      <x:c r="H352" s="24" t="str">
        <x:f>IF(B352="","",IF(ISNUMBER(F352),"OK","Cần kiểm tra"))</x:f>
        <x:v>OK</x:v>
      </x:c>
    </x:row>
    <x:row r="353" ht="21" customHeight="1">
      <x:c r="A353" s="24" t="str">
        <x:v>FM-2026-0352</x:v>
      </x:c>
      <x:c r="B353" s="24" t="str">
        <x:v>HCM_LT</x:v>
      </x:c>
      <x:c r="C353" s="21" t="str">
        <x:v>Trần Bình 352</x:v>
      </x:c>
      <x:c r="D353" s="21" t="str">
        <x:v>TP. Hồ Chí Minh liên tỉnh</x:v>
      </x:c>
      <x:c r="E353" s="25" t="n">
        <x:v>6.9</x:v>
      </x:c>
      <x:c r="F353" s="26" t="n">
        <x:f>IF(B353="","",IFERROR(VLOOKUP(TRIM(B353),'Giá cước'!$A$2:$D$7,4,FALSE),"Không tìm thấy mã cước"))</x:f>
        <x:v>19500</x:v>
      </x:c>
      <x:c r="G353" s="26" t="n">
        <x:f>IF(OR(B353="",E353=""),"",IFERROR(E353*F353,""))</x:f>
        <x:v>134550</x:v>
      </x:c>
      <x:c r="H353" s="24" t="str">
        <x:f>IF(B353="","",IF(ISNUMBER(F353),"OK","Cần kiểm tra"))</x:f>
        <x:v>OK</x:v>
      </x:c>
    </x:row>
    <x:row r="354" ht="21" customHeight="1">
      <x:c r="A354" s="24" t="str">
        <x:v>FM-2026-0353</x:v>
      </x:c>
      <x:c r="B354" s="24" t="str">
        <x:v>MIEN_TAY</x:v>
      </x:c>
      <x:c r="C354" s="21" t="str">
        <x:v>Lê Chi 353</x:v>
      </x:c>
      <x:c r="D354" s="21" t="str">
        <x:v>Miền Tây</x:v>
      </x:c>
      <x:c r="E354" s="25" t="n">
        <x:v>7.6</x:v>
      </x:c>
      <x:c r="F354" s="26" t="n">
        <x:f>IF(B354="","",IFERROR(VLOOKUP(TRIM(B354),'Giá cước'!$A$2:$D$7,4,FALSE),"Không tìm thấy mã cước"))</x:f>
        <x:v>22000</x:v>
      </x:c>
      <x:c r="G354" s="26" t="n">
        <x:f>IF(OR(B354="",E354=""),"",IFERROR(E354*F354,""))</x:f>
        <x:v>167200</x:v>
      </x:c>
      <x:c r="H354" s="24" t="str">
        <x:f>IF(B354="","",IF(ISNUMBER(F354),"OK","Cần kiểm tra"))</x:f>
        <x:v>OK</x:v>
      </x:c>
    </x:row>
    <x:row r="355" ht="21" customHeight="1">
      <x:c r="A355" s="24" t="str">
        <x:v>FM-2026-0354</x:v>
      </x:c>
      <x:c r="B355" s="24" t="str">
        <x:v>MIEN_NUI</x:v>
      </x:c>
      <x:c r="C355" s="21" t="str">
        <x:v>Phạm Duy 354</x:v>
      </x:c>
      <x:c r="D355" s="21" t="str">
        <x:v>Miền núi</x:v>
      </x:c>
      <x:c r="E355" s="25" t="n">
        <x:v>8.3</x:v>
      </x:c>
      <x:c r="F355" s="26" t="n">
        <x:f>IF(B355="","",IFERROR(VLOOKUP(TRIM(B355),'Giá cước'!$A$2:$D$7,4,FALSE),"Không tìm thấy mã cước"))</x:f>
        <x:v>27000</x:v>
      </x:c>
      <x:c r="G355" s="26" t="n">
        <x:f>IF(OR(B355="",E355=""),"",IFERROR(E355*F355,""))</x:f>
        <x:v>224100.00000000003</x:v>
      </x:c>
      <x:c r="H355" s="24" t="str">
        <x:f>IF(B355="","",IF(ISNUMBER(F355),"OK","Cần kiểm tra"))</x:f>
        <x:v>OK</x:v>
      </x:c>
    </x:row>
    <x:row r="356" ht="21" customHeight="1">
      <x:c r="A356" s="24" t="str">
        <x:v>FM-2026-0355</x:v>
      </x:c>
      <x:c r="B356" s="24" t="str">
        <x:v>HN_NT</x:v>
      </x:c>
      <x:c r="C356" s="21" t="str">
        <x:v>Võ Hà 355</x:v>
      </x:c>
      <x:c r="D356" s="21" t="str">
        <x:v>Hà Nội nội thành</x:v>
      </x:c>
      <x:c r="E356" s="25" t="n">
        <x:v>9</x:v>
      </x:c>
      <x:c r="F356" s="26" t="n">
        <x:f>IF(B356="","",IFERROR(VLOOKUP(TRIM(B356),'Giá cước'!$A$2:$D$7,4,FALSE),"Không tìm thấy mã cước"))</x:f>
        <x:v>12000</x:v>
      </x:c>
      <x:c r="G356" s="26" t="n">
        <x:f>IF(OR(B356="",E356=""),"",IFERROR(E356*F356,""))</x:f>
        <x:v>108000</x:v>
      </x:c>
      <x:c r="H356" s="24" t="str">
        <x:f>IF(B356="","",IF(ISNUMBER(F356),"OK","Cần kiểm tra"))</x:f>
        <x:v>OK</x:v>
      </x:c>
    </x:row>
    <x:row r="357" ht="21" customHeight="1">
      <x:c r="A357" s="24" t="str">
        <x:v>FM-2026-0356</x:v>
      </x:c>
      <x:c r="B357" s="24" t="str">
        <x:v>HN_LT</x:v>
      </x:c>
      <x:c r="C357" s="21" t="str">
        <x:v>Đỗ Khang 356</x:v>
      </x:c>
      <x:c r="D357" s="21" t="str">
        <x:v>Hà Nội liên tỉnh</x:v>
      </x:c>
      <x:c r="E357" s="25" t="n">
        <x:v>9.7</x:v>
      </x:c>
      <x:c r="F357" s="26" t="n">
        <x:f>IF(B357="","",IFERROR(VLOOKUP(TRIM(B357),'Giá cước'!$A$2:$D$7,4,FALSE),"Không tìm thấy mã cước"))</x:f>
        <x:v>18000</x:v>
      </x:c>
      <x:c r="G357" s="26" t="n">
        <x:f>IF(OR(B357="",E357=""),"",IFERROR(E357*F357,""))</x:f>
        <x:v>174600</x:v>
      </x:c>
      <x:c r="H357" s="24" t="str">
        <x:f>IF(B357="","",IF(ISNUMBER(F357),"OK","Cần kiểm tra"))</x:f>
        <x:v>OK</x:v>
      </x:c>
    </x:row>
    <x:row r="358" ht="21" customHeight="1">
      <x:c r="A358" s="24" t="str">
        <x:v>FM-2026-0357</x:v>
      </x:c>
      <x:c r="B358" s="24" t="str">
        <x:v>HCM_NT</x:v>
      </x:c>
      <x:c r="C358" s="21" t="str">
        <x:v>Bùi Lan 357</x:v>
      </x:c>
      <x:c r="D358" s="21" t="str">
        <x:v>TP. Hồ Chí Minh nội thành</x:v>
      </x:c>
      <x:c r="E358" s="25" t="n">
        <x:v>10.4</x:v>
      </x:c>
      <x:c r="F358" s="26" t="n">
        <x:f>IF(B358="","",IFERROR(VLOOKUP(TRIM(B358),'Giá cước'!$A$2:$D$7,4,FALSE),"Không tìm thấy mã cước"))</x:f>
        <x:v>13000</x:v>
      </x:c>
      <x:c r="G358" s="26" t="n">
        <x:f>IF(OR(B358="",E358=""),"",IFERROR(E358*F358,""))</x:f>
        <x:v>135200</x:v>
      </x:c>
      <x:c r="H358" s="24" t="str">
        <x:f>IF(B358="","",IF(ISNUMBER(F358),"OK","Cần kiểm tra"))</x:f>
        <x:v>OK</x:v>
      </x:c>
    </x:row>
    <x:row r="359" ht="21" customHeight="1">
      <x:c r="A359" s="24" t="str">
        <x:v>FM-2026-0358</x:v>
      </x:c>
      <x:c r="B359" s="24" t="str">
        <x:v>HCM_LT</x:v>
      </x:c>
      <x:c r="C359" s="21" t="str">
        <x:v>Hoàng Minh 358</x:v>
      </x:c>
      <x:c r="D359" s="21" t="str">
        <x:v>TP. Hồ Chí Minh liên tỉnh</x:v>
      </x:c>
      <x:c r="E359" s="25" t="n">
        <x:v>11.1</x:v>
      </x:c>
      <x:c r="F359" s="26" t="n">
        <x:f>IF(B359="","",IFERROR(VLOOKUP(TRIM(B359),'Giá cước'!$A$2:$D$7,4,FALSE),"Không tìm thấy mã cước"))</x:f>
        <x:v>19500</x:v>
      </x:c>
      <x:c r="G359" s="26" t="n">
        <x:f>IF(OR(B359="",E359=""),"",IFERROR(E359*F359,""))</x:f>
        <x:v>216450</x:v>
      </x:c>
      <x:c r="H359" s="24" t="str">
        <x:f>IF(B359="","",IF(ISNUMBER(F359),"OK","Cần kiểm tra"))</x:f>
        <x:v>OK</x:v>
      </x:c>
    </x:row>
    <x:row r="360" ht="21" customHeight="1">
      <x:c r="A360" s="24" t="str">
        <x:v>FM-2026-0359</x:v>
      </x:c>
      <x:c r="B360" s="24" t="str">
        <x:v>MIEN_TAY</x:v>
      </x:c>
      <x:c r="C360" s="21" t="str">
        <x:v>Phan Ngọc 359</x:v>
      </x:c>
      <x:c r="D360" s="21" t="str">
        <x:v>Miền Tây</x:v>
      </x:c>
      <x:c r="E360" s="25" t="n">
        <x:v>11.8</x:v>
      </x:c>
      <x:c r="F360" s="26" t="n">
        <x:f>IF(B360="","",IFERROR(VLOOKUP(TRIM(B360),'Giá cước'!$A$2:$D$7,4,FALSE),"Không tìm thấy mã cước"))</x:f>
        <x:v>22000</x:v>
      </x:c>
      <x:c r="G360" s="26" t="n">
        <x:f>IF(OR(B360="",E360=""),"",IFERROR(E360*F360,""))</x:f>
        <x:v>259600.00000000003</x:v>
      </x:c>
      <x:c r="H360" s="24" t="str">
        <x:f>IF(B360="","",IF(ISNUMBER(F360),"OK","Cần kiểm tra"))</x:f>
        <x:v>OK</x:v>
      </x:c>
    </x:row>
    <x:row r="361" ht="21" customHeight="1">
      <x:c r="A361" s="24" t="str">
        <x:v>FM-2026-0360</x:v>
      </x:c>
      <x:c r="B361" s="24" t="str">
        <x:v>MIEN_NUI</x:v>
      </x:c>
      <x:c r="C361" s="21" t="str">
        <x:v>Đặng Quân 360</x:v>
      </x:c>
      <x:c r="D361" s="21" t="str">
        <x:v>Miền núi</x:v>
      </x:c>
      <x:c r="E361" s="25" t="n">
        <x:v>0.5</x:v>
      </x:c>
      <x:c r="F361" s="26" t="n">
        <x:f>IF(B361="","",IFERROR(VLOOKUP(TRIM(B361),'Giá cước'!$A$2:$D$7,4,FALSE),"Không tìm thấy mã cước"))</x:f>
        <x:v>27000</x:v>
      </x:c>
      <x:c r="G361" s="26" t="n">
        <x:f>IF(OR(B361="",E361=""),"",IFERROR(E361*F361,""))</x:f>
        <x:v>13500</x:v>
      </x:c>
      <x:c r="H361" s="24" t="str">
        <x:f>IF(B361="","",IF(ISNUMBER(F361),"OK","Cần kiểm tra"))</x:f>
        <x:v>OK</x:v>
      </x:c>
    </x:row>
    <x:row r="362" ht="21" customHeight="1">
      <x:c r="A362" s="24" t="str">
        <x:v>FM-2026-0361</x:v>
      </x:c>
      <x:c r="B362" s="24" t="str">
        <x:v>HN_NT</x:v>
      </x:c>
      <x:c r="C362" s="21" t="str">
        <x:v>Nguyễn An 361</x:v>
      </x:c>
      <x:c r="D362" s="21" t="str">
        <x:v>Hà Nội nội thành</x:v>
      </x:c>
      <x:c r="E362" s="25" t="n">
        <x:v>1.2</x:v>
      </x:c>
      <x:c r="F362" s="26" t="n">
        <x:f>IF(B362="","",IFERROR(VLOOKUP(TRIM(B362),'Giá cước'!$A$2:$D$7,4,FALSE),"Không tìm thấy mã cước"))</x:f>
        <x:v>12000</x:v>
      </x:c>
      <x:c r="G362" s="26" t="n">
        <x:f>IF(OR(B362="",E362=""),"",IFERROR(E362*F362,""))</x:f>
        <x:v>14400</x:v>
      </x:c>
      <x:c r="H362" s="24" t="str">
        <x:f>IF(B362="","",IF(ISNUMBER(F362),"OK","Cần kiểm tra"))</x:f>
        <x:v>OK</x:v>
      </x:c>
    </x:row>
    <x:row r="363" ht="21" customHeight="1">
      <x:c r="A363" s="24" t="str">
        <x:v>FM-2026-0362</x:v>
      </x:c>
      <x:c r="B363" s="24" t="str">
        <x:v>HN_LT</x:v>
      </x:c>
      <x:c r="C363" s="21" t="str">
        <x:v>Trần Bình 362</x:v>
      </x:c>
      <x:c r="D363" s="21" t="str">
        <x:v>Hà Nội liên tỉnh</x:v>
      </x:c>
      <x:c r="E363" s="25" t="n">
        <x:v>1.9</x:v>
      </x:c>
      <x:c r="F363" s="26" t="n">
        <x:f>IF(B363="","",IFERROR(VLOOKUP(TRIM(B363),'Giá cước'!$A$2:$D$7,4,FALSE),"Không tìm thấy mã cước"))</x:f>
        <x:v>18000</x:v>
      </x:c>
      <x:c r="G363" s="26" t="n">
        <x:f>IF(OR(B363="",E363=""),"",IFERROR(E363*F363,""))</x:f>
        <x:v>34200</x:v>
      </x:c>
      <x:c r="H363" s="24" t="str">
        <x:f>IF(B363="","",IF(ISNUMBER(F363),"OK","Cần kiểm tra"))</x:f>
        <x:v>OK</x:v>
      </x:c>
    </x:row>
    <x:row r="364" ht="21" customHeight="1">
      <x:c r="A364" s="24" t="str">
        <x:v>FM-2026-0363</x:v>
      </x:c>
      <x:c r="B364" s="24" t="str">
        <x:v>HCM_NT</x:v>
      </x:c>
      <x:c r="C364" s="21" t="str">
        <x:v>Lê Chi 363</x:v>
      </x:c>
      <x:c r="D364" s="21" t="str">
        <x:v>TP. Hồ Chí Minh nội thành</x:v>
      </x:c>
      <x:c r="E364" s="25" t="n">
        <x:v>2.6</x:v>
      </x:c>
      <x:c r="F364" s="26" t="n">
        <x:f>IF(B364="","",IFERROR(VLOOKUP(TRIM(B364),'Giá cước'!$A$2:$D$7,4,FALSE),"Không tìm thấy mã cước"))</x:f>
        <x:v>13000</x:v>
      </x:c>
      <x:c r="G364" s="26" t="n">
        <x:f>IF(OR(B364="",E364=""),"",IFERROR(E364*F364,""))</x:f>
        <x:v>33800</x:v>
      </x:c>
      <x:c r="H364" s="24" t="str">
        <x:f>IF(B364="","",IF(ISNUMBER(F364),"OK","Cần kiểm tra"))</x:f>
        <x:v>OK</x:v>
      </x:c>
    </x:row>
    <x:row r="365" ht="21" customHeight="1">
      <x:c r="A365" s="24" t="str">
        <x:v>FM-2026-0364</x:v>
      </x:c>
      <x:c r="B365" s="24" t="str">
        <x:v>HCM_LT</x:v>
      </x:c>
      <x:c r="C365" s="21" t="str">
        <x:v>Phạm Duy 364</x:v>
      </x:c>
      <x:c r="D365" s="21" t="str">
        <x:v>TP. Hồ Chí Minh liên tỉnh</x:v>
      </x:c>
      <x:c r="E365" s="25" t="n">
        <x:v>3.3</x:v>
      </x:c>
      <x:c r="F365" s="26" t="n">
        <x:f>IF(B365="","",IFERROR(VLOOKUP(TRIM(B365),'Giá cước'!$A$2:$D$7,4,FALSE),"Không tìm thấy mã cước"))</x:f>
        <x:v>19500</x:v>
      </x:c>
      <x:c r="G365" s="26" t="n">
        <x:f>IF(OR(B365="",E365=""),"",IFERROR(E365*F365,""))</x:f>
        <x:v>64350</x:v>
      </x:c>
      <x:c r="H365" s="24" t="str">
        <x:f>IF(B365="","",IF(ISNUMBER(F365),"OK","Cần kiểm tra"))</x:f>
        <x:v>OK</x:v>
      </x:c>
    </x:row>
    <x:row r="366" ht="21" customHeight="1">
      <x:c r="A366" s="24" t="str">
        <x:v>FM-2026-0365</x:v>
      </x:c>
      <x:c r="B366" s="24" t="str">
        <x:v>MIEN_TAY</x:v>
      </x:c>
      <x:c r="C366" s="21" t="str">
        <x:v>Võ Hà 365</x:v>
      </x:c>
      <x:c r="D366" s="21" t="str">
        <x:v>Miền Tây</x:v>
      </x:c>
      <x:c r="E366" s="25" t="n">
        <x:v>4</x:v>
      </x:c>
      <x:c r="F366" s="26" t="n">
        <x:f>IF(B366="","",IFERROR(VLOOKUP(TRIM(B366),'Giá cước'!$A$2:$D$7,4,FALSE),"Không tìm thấy mã cước"))</x:f>
        <x:v>22000</x:v>
      </x:c>
      <x:c r="G366" s="26" t="n">
        <x:f>IF(OR(B366="",E366=""),"",IFERROR(E366*F366,""))</x:f>
        <x:v>88000</x:v>
      </x:c>
      <x:c r="H366" s="24" t="str">
        <x:f>IF(B366="","",IF(ISNUMBER(F366),"OK","Cần kiểm tra"))</x:f>
        <x:v>OK</x:v>
      </x:c>
    </x:row>
    <x:row r="367" ht="21" customHeight="1">
      <x:c r="A367" s="24" t="str">
        <x:v>FM-2026-0366</x:v>
      </x:c>
      <x:c r="B367" s="24" t="str">
        <x:v>MIEN_NUI</x:v>
      </x:c>
      <x:c r="C367" s="21" t="str">
        <x:v>Đỗ Khang 366</x:v>
      </x:c>
      <x:c r="D367" s="21" t="str">
        <x:v>Miền núi</x:v>
      </x:c>
      <x:c r="E367" s="25" t="n">
        <x:v>4.7</x:v>
      </x:c>
      <x:c r="F367" s="26" t="n">
        <x:f>IF(B367="","",IFERROR(VLOOKUP(TRIM(B367),'Giá cước'!$A$2:$D$7,4,FALSE),"Không tìm thấy mã cước"))</x:f>
        <x:v>27000</x:v>
      </x:c>
      <x:c r="G367" s="26" t="n">
        <x:f>IF(OR(B367="",E367=""),"",IFERROR(E367*F367,""))</x:f>
        <x:v>126900</x:v>
      </x:c>
      <x:c r="H367" s="24" t="str">
        <x:f>IF(B367="","",IF(ISNUMBER(F367),"OK","Cần kiểm tra"))</x:f>
        <x:v>OK</x:v>
      </x:c>
    </x:row>
    <x:row r="368" ht="21" customHeight="1">
      <x:c r="A368" s="24" t="str">
        <x:v>FM-2026-0367</x:v>
      </x:c>
      <x:c r="B368" s="24" t="str">
        <x:v>HN_NT</x:v>
      </x:c>
      <x:c r="C368" s="21" t="str">
        <x:v>Bùi Lan 367</x:v>
      </x:c>
      <x:c r="D368" s="21" t="str">
        <x:v>Hà Nội nội thành</x:v>
      </x:c>
      <x:c r="E368" s="25" t="n">
        <x:v>5.4</x:v>
      </x:c>
      <x:c r="F368" s="26" t="n">
        <x:f>IF(B368="","",IFERROR(VLOOKUP(TRIM(B368),'Giá cước'!$A$2:$D$7,4,FALSE),"Không tìm thấy mã cước"))</x:f>
        <x:v>12000</x:v>
      </x:c>
      <x:c r="G368" s="26" t="n">
        <x:f>IF(OR(B368="",E368=""),"",IFERROR(E368*F368,""))</x:f>
        <x:v>64800.00000000001</x:v>
      </x:c>
      <x:c r="H368" s="24" t="str">
        <x:f>IF(B368="","",IF(ISNUMBER(F368),"OK","Cần kiểm tra"))</x:f>
        <x:v>OK</x:v>
      </x:c>
    </x:row>
    <x:row r="369" ht="21" customHeight="1">
      <x:c r="A369" s="24" t="str">
        <x:v>FM-2026-0368</x:v>
      </x:c>
      <x:c r="B369" s="24" t="str">
        <x:v>HN_LT</x:v>
      </x:c>
      <x:c r="C369" s="21" t="str">
        <x:v>Hoàng Minh 368</x:v>
      </x:c>
      <x:c r="D369" s="21" t="str">
        <x:v>Hà Nội liên tỉnh</x:v>
      </x:c>
      <x:c r="E369" s="25" t="n">
        <x:v>6.1</x:v>
      </x:c>
      <x:c r="F369" s="26" t="n">
        <x:f>IF(B369="","",IFERROR(VLOOKUP(TRIM(B369),'Giá cước'!$A$2:$D$7,4,FALSE),"Không tìm thấy mã cước"))</x:f>
        <x:v>18000</x:v>
      </x:c>
      <x:c r="G369" s="26" t="n">
        <x:f>IF(OR(B369="",E369=""),"",IFERROR(E369*F369,""))</x:f>
        <x:v>109800</x:v>
      </x:c>
      <x:c r="H369" s="24" t="str">
        <x:f>IF(B369="","",IF(ISNUMBER(F369),"OK","Cần kiểm tra"))</x:f>
        <x:v>OK</x:v>
      </x:c>
    </x:row>
    <x:row r="370" ht="21" customHeight="1">
      <x:c r="A370" s="24" t="str">
        <x:v>FM-2026-0369</x:v>
      </x:c>
      <x:c r="B370" s="24" t="str">
        <x:v>HCM_NT</x:v>
      </x:c>
      <x:c r="C370" s="21" t="str">
        <x:v>Phan Ngọc 369</x:v>
      </x:c>
      <x:c r="D370" s="21" t="str">
        <x:v>TP. Hồ Chí Minh nội thành</x:v>
      </x:c>
      <x:c r="E370" s="25" t="n">
        <x:v>6.8</x:v>
      </x:c>
      <x:c r="F370" s="26" t="n">
        <x:f>IF(B370="","",IFERROR(VLOOKUP(TRIM(B370),'Giá cước'!$A$2:$D$7,4,FALSE),"Không tìm thấy mã cước"))</x:f>
        <x:v>13000</x:v>
      </x:c>
      <x:c r="G370" s="26" t="n">
        <x:f>IF(OR(B370="",E370=""),"",IFERROR(E370*F370,""))</x:f>
        <x:v>88400</x:v>
      </x:c>
      <x:c r="H370" s="24" t="str">
        <x:f>IF(B370="","",IF(ISNUMBER(F370),"OK","Cần kiểm tra"))</x:f>
        <x:v>OK</x:v>
      </x:c>
    </x:row>
    <x:row r="371" ht="21" customHeight="1">
      <x:c r="A371" s="24" t="str">
        <x:v>FM-2026-0370</x:v>
      </x:c>
      <x:c r="B371" s="24" t="str">
        <x:v>HCM_LT</x:v>
      </x:c>
      <x:c r="C371" s="21" t="str">
        <x:v>Đặng Quân 370</x:v>
      </x:c>
      <x:c r="D371" s="21" t="str">
        <x:v>TP. Hồ Chí Minh liên tỉnh</x:v>
      </x:c>
      <x:c r="E371" s="25" t="n">
        <x:v>7.5</x:v>
      </x:c>
      <x:c r="F371" s="26" t="n">
        <x:f>IF(B371="","",IFERROR(VLOOKUP(TRIM(B371),'Giá cước'!$A$2:$D$7,4,FALSE),"Không tìm thấy mã cước"))</x:f>
        <x:v>19500</x:v>
      </x:c>
      <x:c r="G371" s="26" t="n">
        <x:f>IF(OR(B371="",E371=""),"",IFERROR(E371*F371,""))</x:f>
        <x:v>146250</x:v>
      </x:c>
      <x:c r="H371" s="24" t="str">
        <x:f>IF(B371="","",IF(ISNUMBER(F371),"OK","Cần kiểm tra"))</x:f>
        <x:v>OK</x:v>
      </x:c>
    </x:row>
    <x:row r="372" ht="21" customHeight="1">
      <x:c r="A372" s="24" t="str">
        <x:v>FM-2026-0371</x:v>
      </x:c>
      <x:c r="B372" s="24" t="str">
        <x:v>MIEN_TAY</x:v>
      </x:c>
      <x:c r="C372" s="21" t="str">
        <x:v>Nguyễn An 371</x:v>
      </x:c>
      <x:c r="D372" s="21" t="str">
        <x:v>Miền Tây</x:v>
      </x:c>
      <x:c r="E372" s="25" t="n">
        <x:v>8.2</x:v>
      </x:c>
      <x:c r="F372" s="26" t="n">
        <x:f>IF(B372="","",IFERROR(VLOOKUP(TRIM(B372),'Giá cước'!$A$2:$D$7,4,FALSE),"Không tìm thấy mã cước"))</x:f>
        <x:v>22000</x:v>
      </x:c>
      <x:c r="G372" s="26" t="n">
        <x:f>IF(OR(B372="",E372=""),"",IFERROR(E372*F372,""))</x:f>
        <x:v>180399.99999999997</x:v>
      </x:c>
      <x:c r="H372" s="24" t="str">
        <x:f>IF(B372="","",IF(ISNUMBER(F372),"OK","Cần kiểm tra"))</x:f>
        <x:v>OK</x:v>
      </x:c>
    </x:row>
    <x:row r="373" ht="21" customHeight="1">
      <x:c r="A373" s="24" t="str">
        <x:v>FM-2026-0372</x:v>
      </x:c>
      <x:c r="B373" s="24" t="str">
        <x:v>MIEN_NUI</x:v>
      </x:c>
      <x:c r="C373" s="21" t="str">
        <x:v>Trần Bình 372</x:v>
      </x:c>
      <x:c r="D373" s="21" t="str">
        <x:v>Miền núi</x:v>
      </x:c>
      <x:c r="E373" s="25" t="n">
        <x:v>8.9</x:v>
      </x:c>
      <x:c r="F373" s="26" t="n">
        <x:f>IF(B373="","",IFERROR(VLOOKUP(TRIM(B373),'Giá cước'!$A$2:$D$7,4,FALSE),"Không tìm thấy mã cước"))</x:f>
        <x:v>27000</x:v>
      </x:c>
      <x:c r="G373" s="26" t="n">
        <x:f>IF(OR(B373="",E373=""),"",IFERROR(E373*F373,""))</x:f>
        <x:v>240300</x:v>
      </x:c>
      <x:c r="H373" s="24" t="str">
        <x:f>IF(B373="","",IF(ISNUMBER(F373),"OK","Cần kiểm tra"))</x:f>
        <x:v>OK</x:v>
      </x:c>
    </x:row>
    <x:row r="374" ht="21" customHeight="1">
      <x:c r="A374" s="24" t="str">
        <x:v>FM-2026-0373</x:v>
      </x:c>
      <x:c r="B374" s="24" t="str">
        <x:v>HN_NT</x:v>
      </x:c>
      <x:c r="C374" s="21" t="str">
        <x:v>Lê Chi 373</x:v>
      </x:c>
      <x:c r="D374" s="21" t="str">
        <x:v>Hà Nội nội thành</x:v>
      </x:c>
      <x:c r="E374" s="25" t="n">
        <x:v>9.6</x:v>
      </x:c>
      <x:c r="F374" s="26" t="n">
        <x:f>IF(B374="","",IFERROR(VLOOKUP(TRIM(B374),'Giá cước'!$A$2:$D$7,4,FALSE),"Không tìm thấy mã cước"))</x:f>
        <x:v>12000</x:v>
      </x:c>
      <x:c r="G374" s="26" t="n">
        <x:f>IF(OR(B374="",E374=""),"",IFERROR(E374*F374,""))</x:f>
        <x:v>115200</x:v>
      </x:c>
      <x:c r="H374" s="24" t="str">
        <x:f>IF(B374="","",IF(ISNUMBER(F374),"OK","Cần kiểm tra"))</x:f>
        <x:v>OK</x:v>
      </x:c>
    </x:row>
    <x:row r="375" ht="21" customHeight="1">
      <x:c r="A375" s="24" t="str">
        <x:v>FM-2026-0374</x:v>
      </x:c>
      <x:c r="B375" s="24" t="str">
        <x:v>HN_LT</x:v>
      </x:c>
      <x:c r="C375" s="21" t="str">
        <x:v>Phạm Duy 374</x:v>
      </x:c>
      <x:c r="D375" s="21" t="str">
        <x:v>Hà Nội liên tỉnh</x:v>
      </x:c>
      <x:c r="E375" s="25" t="n">
        <x:v>10.3</x:v>
      </x:c>
      <x:c r="F375" s="26" t="n">
        <x:f>IF(B375="","",IFERROR(VLOOKUP(TRIM(B375),'Giá cước'!$A$2:$D$7,4,FALSE),"Không tìm thấy mã cước"))</x:f>
        <x:v>18000</x:v>
      </x:c>
      <x:c r="G375" s="26" t="n">
        <x:f>IF(OR(B375="",E375=""),"",IFERROR(E375*F375,""))</x:f>
        <x:v>185400</x:v>
      </x:c>
      <x:c r="H375" s="24" t="str">
        <x:f>IF(B375="","",IF(ISNUMBER(F375),"OK","Cần kiểm tra"))</x:f>
        <x:v>OK</x:v>
      </x:c>
    </x:row>
    <x:row r="376" ht="21" customHeight="1">
      <x:c r="A376" s="24" t="str">
        <x:v>FM-2026-0375</x:v>
      </x:c>
      <x:c r="B376" s="24" t="str">
        <x:v>HCM_NT</x:v>
      </x:c>
      <x:c r="C376" s="21" t="str">
        <x:v>Võ Hà 375</x:v>
      </x:c>
      <x:c r="D376" s="21" t="str">
        <x:v>TP. Hồ Chí Minh nội thành</x:v>
      </x:c>
      <x:c r="E376" s="25" t="n">
        <x:v>11</x:v>
      </x:c>
      <x:c r="F376" s="26" t="n">
        <x:f>IF(B376="","",IFERROR(VLOOKUP(TRIM(B376),'Giá cước'!$A$2:$D$7,4,FALSE),"Không tìm thấy mã cước"))</x:f>
        <x:v>13000</x:v>
      </x:c>
      <x:c r="G376" s="26" t="n">
        <x:f>IF(OR(B376="",E376=""),"",IFERROR(E376*F376,""))</x:f>
        <x:v>143000</x:v>
      </x:c>
      <x:c r="H376" s="24" t="str">
        <x:f>IF(B376="","",IF(ISNUMBER(F376),"OK","Cần kiểm tra"))</x:f>
        <x:v>OK</x:v>
      </x:c>
    </x:row>
    <x:row r="377" ht="21" customHeight="1">
      <x:c r="A377" s="24" t="str">
        <x:v>FM-2026-0376</x:v>
      </x:c>
      <x:c r="B377" s="24" t="str">
        <x:v>HCM_LT</x:v>
      </x:c>
      <x:c r="C377" s="21" t="str">
        <x:v>Đỗ Khang 376</x:v>
      </x:c>
      <x:c r="D377" s="21" t="str">
        <x:v>TP. Hồ Chí Minh liên tỉnh</x:v>
      </x:c>
      <x:c r="E377" s="25" t="n">
        <x:v>11.7</x:v>
      </x:c>
      <x:c r="F377" s="26" t="n">
        <x:f>IF(B377="","",IFERROR(VLOOKUP(TRIM(B377),'Giá cước'!$A$2:$D$7,4,FALSE),"Không tìm thấy mã cước"))</x:f>
        <x:v>19500</x:v>
      </x:c>
      <x:c r="G377" s="26" t="n">
        <x:f>IF(OR(B377="",E377=""),"",IFERROR(E377*F377,""))</x:f>
        <x:v>228150</x:v>
      </x:c>
      <x:c r="H377" s="24" t="str">
        <x:f>IF(B377="","",IF(ISNUMBER(F377),"OK","Cần kiểm tra"))</x:f>
        <x:v>OK</x:v>
      </x:c>
    </x:row>
    <x:row r="378" ht="21" customHeight="1">
      <x:c r="A378" s="24" t="str">
        <x:v>FM-2026-0377</x:v>
      </x:c>
      <x:c r="B378" s="24" t="str">
        <x:v>MIEN_TAY</x:v>
      </x:c>
      <x:c r="C378" s="21" t="str">
        <x:v>Bùi Lan 377</x:v>
      </x:c>
      <x:c r="D378" s="21" t="str">
        <x:v>Miền Tây</x:v>
      </x:c>
      <x:c r="E378" s="25" t="n">
        <x:v>12.4</x:v>
      </x:c>
      <x:c r="F378" s="26" t="n">
        <x:f>IF(B378="","",IFERROR(VLOOKUP(TRIM(B378),'Giá cước'!$A$2:$D$7,4,FALSE),"Không tìm thấy mã cước"))</x:f>
        <x:v>22000</x:v>
      </x:c>
      <x:c r="G378" s="26" t="n">
        <x:f>IF(OR(B378="",E378=""),"",IFERROR(E378*F378,""))</x:f>
        <x:v>272800</x:v>
      </x:c>
      <x:c r="H378" s="24" t="str">
        <x:f>IF(B378="","",IF(ISNUMBER(F378),"OK","Cần kiểm tra"))</x:f>
        <x:v>OK</x:v>
      </x:c>
    </x:row>
    <x:row r="379" ht="21" customHeight="1">
      <x:c r="A379" s="24" t="str">
        <x:v>FM-2026-0378</x:v>
      </x:c>
      <x:c r="B379" s="24" t="str">
        <x:v>MIEN_NUI</x:v>
      </x:c>
      <x:c r="C379" s="21" t="str">
        <x:v>Hoàng Minh 378</x:v>
      </x:c>
      <x:c r="D379" s="21" t="str">
        <x:v>Miền núi</x:v>
      </x:c>
      <x:c r="E379" s="25" t="n">
        <x:v>1.1</x:v>
      </x:c>
      <x:c r="F379" s="26" t="n">
        <x:f>IF(B379="","",IFERROR(VLOOKUP(TRIM(B379),'Giá cước'!$A$2:$D$7,4,FALSE),"Không tìm thấy mã cước"))</x:f>
        <x:v>27000</x:v>
      </x:c>
      <x:c r="G379" s="26" t="n">
        <x:f>IF(OR(B379="",E379=""),"",IFERROR(E379*F379,""))</x:f>
        <x:v>29700.000000000004</x:v>
      </x:c>
      <x:c r="H379" s="24" t="str">
        <x:f>IF(B379="","",IF(ISNUMBER(F379),"OK","Cần kiểm tra"))</x:f>
        <x:v>OK</x:v>
      </x:c>
    </x:row>
    <x:row r="380" ht="21" customHeight="1">
      <x:c r="A380" s="24" t="str">
        <x:v>FM-2026-0379</x:v>
      </x:c>
      <x:c r="B380" s="24" t="str">
        <x:v>HN_NT</x:v>
      </x:c>
      <x:c r="C380" s="21" t="str">
        <x:v>Phan Ngọc 379</x:v>
      </x:c>
      <x:c r="D380" s="21" t="str">
        <x:v>Hà Nội nội thành</x:v>
      </x:c>
      <x:c r="E380" s="25" t="n">
        <x:v>1.8</x:v>
      </x:c>
      <x:c r="F380" s="26" t="n">
        <x:f>IF(B380="","",IFERROR(VLOOKUP(TRIM(B380),'Giá cước'!$A$2:$D$7,4,FALSE),"Không tìm thấy mã cước"))</x:f>
        <x:v>12000</x:v>
      </x:c>
      <x:c r="G380" s="26" t="n">
        <x:f>IF(OR(B380="",E380=""),"",IFERROR(E380*F380,""))</x:f>
        <x:v>21600</x:v>
      </x:c>
      <x:c r="H380" s="24" t="str">
        <x:f>IF(B380="","",IF(ISNUMBER(F380),"OK","Cần kiểm tra"))</x:f>
        <x:v>OK</x:v>
      </x:c>
    </x:row>
    <x:row r="381" ht="21" customHeight="1">
      <x:c r="A381" s="24" t="str">
        <x:v>FM-2026-0380</x:v>
      </x:c>
      <x:c r="B381" s="24" t="str">
        <x:v>HN_LT</x:v>
      </x:c>
      <x:c r="C381" s="21" t="str">
        <x:v>Đặng Quân 380</x:v>
      </x:c>
      <x:c r="D381" s="21" t="str">
        <x:v>Hà Nội liên tỉnh</x:v>
      </x:c>
      <x:c r="E381" s="25" t="n">
        <x:v>2.5</x:v>
      </x:c>
      <x:c r="F381" s="26" t="n">
        <x:f>IF(B381="","",IFERROR(VLOOKUP(TRIM(B381),'Giá cước'!$A$2:$D$7,4,FALSE),"Không tìm thấy mã cước"))</x:f>
        <x:v>18000</x:v>
      </x:c>
      <x:c r="G381" s="26" t="n">
        <x:f>IF(OR(B381="",E381=""),"",IFERROR(E381*F381,""))</x:f>
        <x:v>45000</x:v>
      </x:c>
      <x:c r="H381" s="24" t="str">
        <x:f>IF(B381="","",IF(ISNUMBER(F381),"OK","Cần kiểm tra"))</x:f>
        <x:v>OK</x:v>
      </x:c>
    </x:row>
    <x:row r="382" ht="21" customHeight="1">
      <x:c r="A382" s="24" t="str">
        <x:v>FM-2026-0381</x:v>
      </x:c>
      <x:c r="B382" s="24" t="str">
        <x:v>HCM_NT</x:v>
      </x:c>
      <x:c r="C382" s="21" t="str">
        <x:v>Nguyễn An 381</x:v>
      </x:c>
      <x:c r="D382" s="21" t="str">
        <x:v>TP. Hồ Chí Minh nội thành</x:v>
      </x:c>
      <x:c r="E382" s="25" t="n">
        <x:v>3.2</x:v>
      </x:c>
      <x:c r="F382" s="26" t="n">
        <x:f>IF(B382="","",IFERROR(VLOOKUP(TRIM(B382),'Giá cước'!$A$2:$D$7,4,FALSE),"Không tìm thấy mã cước"))</x:f>
        <x:v>13000</x:v>
      </x:c>
      <x:c r="G382" s="26" t="n">
        <x:f>IF(OR(B382="",E382=""),"",IFERROR(E382*F382,""))</x:f>
        <x:v>41600</x:v>
      </x:c>
      <x:c r="H382" s="24" t="str">
        <x:f>IF(B382="","",IF(ISNUMBER(F382),"OK","Cần kiểm tra"))</x:f>
        <x:v>OK</x:v>
      </x:c>
    </x:row>
    <x:row r="383" ht="21" customHeight="1">
      <x:c r="A383" s="24" t="str">
        <x:v>FM-2026-0382</x:v>
      </x:c>
      <x:c r="B383" s="24" t="str">
        <x:v>HCM_LT</x:v>
      </x:c>
      <x:c r="C383" s="21" t="str">
        <x:v>Trần Bình 382</x:v>
      </x:c>
      <x:c r="D383" s="21" t="str">
        <x:v>TP. Hồ Chí Minh liên tỉnh</x:v>
      </x:c>
      <x:c r="E383" s="25" t="n">
        <x:v>3.9</x:v>
      </x:c>
      <x:c r="F383" s="26" t="n">
        <x:f>IF(B383="","",IFERROR(VLOOKUP(TRIM(B383),'Giá cước'!$A$2:$D$7,4,FALSE),"Không tìm thấy mã cước"))</x:f>
        <x:v>19500</x:v>
      </x:c>
      <x:c r="G383" s="26" t="n">
        <x:f>IF(OR(B383="",E383=""),"",IFERROR(E383*F383,""))</x:f>
        <x:v>76050</x:v>
      </x:c>
      <x:c r="H383" s="24" t="str">
        <x:f>IF(B383="","",IF(ISNUMBER(F383),"OK","Cần kiểm tra"))</x:f>
        <x:v>OK</x:v>
      </x:c>
    </x:row>
    <x:row r="384" ht="21" customHeight="1">
      <x:c r="A384" s="24" t="str">
        <x:v>FM-2026-0383</x:v>
      </x:c>
      <x:c r="B384" s="24" t="str">
        <x:v>MIEN_TAY</x:v>
      </x:c>
      <x:c r="C384" s="21" t="str">
        <x:v>Lê Chi 383</x:v>
      </x:c>
      <x:c r="D384" s="21" t="str">
        <x:v>Miền Tây</x:v>
      </x:c>
      <x:c r="E384" s="25" t="n">
        <x:v>4.6</x:v>
      </x:c>
      <x:c r="F384" s="26" t="n">
        <x:f>IF(B384="","",IFERROR(VLOOKUP(TRIM(B384),'Giá cước'!$A$2:$D$7,4,FALSE),"Không tìm thấy mã cước"))</x:f>
        <x:v>22000</x:v>
      </x:c>
      <x:c r="G384" s="26" t="n">
        <x:f>IF(OR(B384="",E384=""),"",IFERROR(E384*F384,""))</x:f>
        <x:v>101199.99999999999</x:v>
      </x:c>
      <x:c r="H384" s="24" t="str">
        <x:f>IF(B384="","",IF(ISNUMBER(F384),"OK","Cần kiểm tra"))</x:f>
        <x:v>OK</x:v>
      </x:c>
    </x:row>
    <x:row r="385" ht="21" customHeight="1">
      <x:c r="A385" s="24" t="str">
        <x:v>FM-2026-0384</x:v>
      </x:c>
      <x:c r="B385" s="24" t="str">
        <x:v>MIEN_NUI</x:v>
      </x:c>
      <x:c r="C385" s="21" t="str">
        <x:v>Phạm Duy 384</x:v>
      </x:c>
      <x:c r="D385" s="21" t="str">
        <x:v>Miền núi</x:v>
      </x:c>
      <x:c r="E385" s="25" t="n">
        <x:v>5.3</x:v>
      </x:c>
      <x:c r="F385" s="26" t="n">
        <x:f>IF(B385="","",IFERROR(VLOOKUP(TRIM(B385),'Giá cước'!$A$2:$D$7,4,FALSE),"Không tìm thấy mã cước"))</x:f>
        <x:v>27000</x:v>
      </x:c>
      <x:c r="G385" s="26" t="n">
        <x:f>IF(OR(B385="",E385=""),"",IFERROR(E385*F385,""))</x:f>
        <x:v>143100</x:v>
      </x:c>
      <x:c r="H385" s="24" t="str">
        <x:f>IF(B385="","",IF(ISNUMBER(F385),"OK","Cần kiểm tra"))</x:f>
        <x:v>OK</x:v>
      </x:c>
    </x:row>
    <x:row r="386" ht="21" customHeight="1">
      <x:c r="A386" s="24" t="str">
        <x:v>FM-2026-0385</x:v>
      </x:c>
      <x:c r="B386" s="24" t="str">
        <x:v>HN_NT</x:v>
      </x:c>
      <x:c r="C386" s="21" t="str">
        <x:v>Võ Hà 385</x:v>
      </x:c>
      <x:c r="D386" s="21" t="str">
        <x:v>Hà Nội nội thành</x:v>
      </x:c>
      <x:c r="E386" s="25" t="n">
        <x:v>6</x:v>
      </x:c>
      <x:c r="F386" s="26" t="n">
        <x:f>IF(B386="","",IFERROR(VLOOKUP(TRIM(B386),'Giá cước'!$A$2:$D$7,4,FALSE),"Không tìm thấy mã cước"))</x:f>
        <x:v>12000</x:v>
      </x:c>
      <x:c r="G386" s="26" t="n">
        <x:f>IF(OR(B386="",E386=""),"",IFERROR(E386*F386,""))</x:f>
        <x:v>72000</x:v>
      </x:c>
      <x:c r="H386" s="24" t="str">
        <x:f>IF(B386="","",IF(ISNUMBER(F386),"OK","Cần kiểm tra"))</x:f>
        <x:v>OK</x:v>
      </x:c>
    </x:row>
    <x:row r="387" ht="21" customHeight="1">
      <x:c r="A387" s="24" t="str">
        <x:v>FM-2026-0386</x:v>
      </x:c>
      <x:c r="B387" s="24" t="str">
        <x:v>HN_LT</x:v>
      </x:c>
      <x:c r="C387" s="21" t="str">
        <x:v>Đỗ Khang 386</x:v>
      </x:c>
      <x:c r="D387" s="21" t="str">
        <x:v>Hà Nội liên tỉnh</x:v>
      </x:c>
      <x:c r="E387" s="25" t="n">
        <x:v>6.7</x:v>
      </x:c>
      <x:c r="F387" s="26" t="n">
        <x:f>IF(B387="","",IFERROR(VLOOKUP(TRIM(B387),'Giá cước'!$A$2:$D$7,4,FALSE),"Không tìm thấy mã cước"))</x:f>
        <x:v>18000</x:v>
      </x:c>
      <x:c r="G387" s="26" t="n">
        <x:f>IF(OR(B387="",E387=""),"",IFERROR(E387*F387,""))</x:f>
        <x:v>120600</x:v>
      </x:c>
      <x:c r="H387" s="24" t="str">
        <x:f>IF(B387="","",IF(ISNUMBER(F387),"OK","Cần kiểm tra"))</x:f>
        <x:v>OK</x:v>
      </x:c>
    </x:row>
    <x:row r="388" ht="21" customHeight="1">
      <x:c r="A388" s="24" t="str">
        <x:v>FM-2026-0387</x:v>
      </x:c>
      <x:c r="B388" s="24" t="str">
        <x:v>HCM_NT</x:v>
      </x:c>
      <x:c r="C388" s="21" t="str">
        <x:v>Bùi Lan 387</x:v>
      </x:c>
      <x:c r="D388" s="21" t="str">
        <x:v>TP. Hồ Chí Minh nội thành</x:v>
      </x:c>
      <x:c r="E388" s="25" t="n">
        <x:v>7.4</x:v>
      </x:c>
      <x:c r="F388" s="26" t="n">
        <x:f>IF(B388="","",IFERROR(VLOOKUP(TRIM(B388),'Giá cước'!$A$2:$D$7,4,FALSE),"Không tìm thấy mã cước"))</x:f>
        <x:v>13000</x:v>
      </x:c>
      <x:c r="G388" s="26" t="n">
        <x:f>IF(OR(B388="",E388=""),"",IFERROR(E388*F388,""))</x:f>
        <x:v>96200</x:v>
      </x:c>
      <x:c r="H388" s="24" t="str">
        <x:f>IF(B388="","",IF(ISNUMBER(F388),"OK","Cần kiểm tra"))</x:f>
        <x:v>OK</x:v>
      </x:c>
    </x:row>
    <x:row r="389" ht="21" customHeight="1">
      <x:c r="A389" s="24" t="str">
        <x:v>FM-2026-0388</x:v>
      </x:c>
      <x:c r="B389" s="24" t="str">
        <x:v>HCM_LT</x:v>
      </x:c>
      <x:c r="C389" s="21" t="str">
        <x:v>Hoàng Minh 388</x:v>
      </x:c>
      <x:c r="D389" s="21" t="str">
        <x:v>TP. Hồ Chí Minh liên tỉnh</x:v>
      </x:c>
      <x:c r="E389" s="25" t="n">
        <x:v>8.1</x:v>
      </x:c>
      <x:c r="F389" s="26" t="n">
        <x:f>IF(B389="","",IFERROR(VLOOKUP(TRIM(B389),'Giá cước'!$A$2:$D$7,4,FALSE),"Không tìm thấy mã cước"))</x:f>
        <x:v>19500</x:v>
      </x:c>
      <x:c r="G389" s="26" t="n">
        <x:f>IF(OR(B389="",E389=""),"",IFERROR(E389*F389,""))</x:f>
        <x:v>157950</x:v>
      </x:c>
      <x:c r="H389" s="24" t="str">
        <x:f>IF(B389="","",IF(ISNUMBER(F389),"OK","Cần kiểm tra"))</x:f>
        <x:v>OK</x:v>
      </x:c>
    </x:row>
    <x:row r="390" ht="21" customHeight="1">
      <x:c r="A390" s="24" t="str">
        <x:v>FM-2026-0389</x:v>
      </x:c>
      <x:c r="B390" s="24" t="str">
        <x:v>MIEN_TAY</x:v>
      </x:c>
      <x:c r="C390" s="21" t="str">
        <x:v>Phan Ngọc 389</x:v>
      </x:c>
      <x:c r="D390" s="21" t="str">
        <x:v>Miền Tây</x:v>
      </x:c>
      <x:c r="E390" s="25" t="n">
        <x:v>8.8</x:v>
      </x:c>
      <x:c r="F390" s="26" t="n">
        <x:f>IF(B390="","",IFERROR(VLOOKUP(TRIM(B390),'Giá cước'!$A$2:$D$7,4,FALSE),"Không tìm thấy mã cước"))</x:f>
        <x:v>22000</x:v>
      </x:c>
      <x:c r="G390" s="26" t="n">
        <x:f>IF(OR(B390="",E390=""),"",IFERROR(E390*F390,""))</x:f>
        <x:v>193600.00000000003</x:v>
      </x:c>
      <x:c r="H390" s="24" t="str">
        <x:f>IF(B390="","",IF(ISNUMBER(F390),"OK","Cần kiểm tra"))</x:f>
        <x:v>OK</x:v>
      </x:c>
    </x:row>
    <x:row r="391" ht="21" customHeight="1">
      <x:c r="A391" s="24" t="str">
        <x:v>FM-2026-0390</x:v>
      </x:c>
      <x:c r="B391" s="24" t="str">
        <x:v>MIEN_NUI</x:v>
      </x:c>
      <x:c r="C391" s="21" t="str">
        <x:v>Đặng Quân 390</x:v>
      </x:c>
      <x:c r="D391" s="21" t="str">
        <x:v>Miền núi</x:v>
      </x:c>
      <x:c r="E391" s="25" t="n">
        <x:v>9.5</x:v>
      </x:c>
      <x:c r="F391" s="26" t="n">
        <x:f>IF(B391="","",IFERROR(VLOOKUP(TRIM(B391),'Giá cước'!$A$2:$D$7,4,FALSE),"Không tìm thấy mã cước"))</x:f>
        <x:v>27000</x:v>
      </x:c>
      <x:c r="G391" s="26" t="n">
        <x:f>IF(OR(B391="",E391=""),"",IFERROR(E391*F391,""))</x:f>
        <x:v>256500</x:v>
      </x:c>
      <x:c r="H391" s="24" t="str">
        <x:f>IF(B391="","",IF(ISNUMBER(F391),"OK","Cần kiểm tra"))</x:f>
        <x:v>OK</x:v>
      </x:c>
    </x:row>
    <x:row r="392" ht="21" customHeight="1">
      <x:c r="A392" s="24" t="str">
        <x:v>FM-2026-0391</x:v>
      </x:c>
      <x:c r="B392" s="24" t="str">
        <x:v>HN_NT</x:v>
      </x:c>
      <x:c r="C392" s="21" t="str">
        <x:v>Nguyễn An 391</x:v>
      </x:c>
      <x:c r="D392" s="21" t="str">
        <x:v>Hà Nội nội thành</x:v>
      </x:c>
      <x:c r="E392" s="25" t="n">
        <x:v>10.2</x:v>
      </x:c>
      <x:c r="F392" s="26" t="n">
        <x:f>IF(B392="","",IFERROR(VLOOKUP(TRIM(B392),'Giá cước'!$A$2:$D$7,4,FALSE),"Không tìm thấy mã cước"))</x:f>
        <x:v>12000</x:v>
      </x:c>
      <x:c r="G392" s="26" t="n">
        <x:f>IF(OR(B392="",E392=""),"",IFERROR(E392*F392,""))</x:f>
        <x:v>122399.99999999999</x:v>
      </x:c>
      <x:c r="H392" s="24" t="str">
        <x:f>IF(B392="","",IF(ISNUMBER(F392),"OK","Cần kiểm tra"))</x:f>
        <x:v>OK</x:v>
      </x:c>
    </x:row>
    <x:row r="393" ht="21" customHeight="1">
      <x:c r="A393" s="24" t="str">
        <x:v>FM-2026-0392</x:v>
      </x:c>
      <x:c r="B393" s="24" t="str">
        <x:v>HN_LT</x:v>
      </x:c>
      <x:c r="C393" s="21" t="str">
        <x:v>Trần Bình 392</x:v>
      </x:c>
      <x:c r="D393" s="21" t="str">
        <x:v>Hà Nội liên tỉnh</x:v>
      </x:c>
      <x:c r="E393" s="25" t="n">
        <x:v>10.9</x:v>
      </x:c>
      <x:c r="F393" s="26" t="n">
        <x:f>IF(B393="","",IFERROR(VLOOKUP(TRIM(B393),'Giá cước'!$A$2:$D$7,4,FALSE),"Không tìm thấy mã cước"))</x:f>
        <x:v>18000</x:v>
      </x:c>
      <x:c r="G393" s="26" t="n">
        <x:f>IF(OR(B393="",E393=""),"",IFERROR(E393*F393,""))</x:f>
        <x:v>196200</x:v>
      </x:c>
      <x:c r="H393" s="24" t="str">
        <x:f>IF(B393="","",IF(ISNUMBER(F393),"OK","Cần kiểm tra"))</x:f>
        <x:v>OK</x:v>
      </x:c>
    </x:row>
    <x:row r="394" ht="21" customHeight="1">
      <x:c r="A394" s="24" t="str">
        <x:v>FM-2026-0393</x:v>
      </x:c>
      <x:c r="B394" s="24" t="str">
        <x:v>HCM_NT</x:v>
      </x:c>
      <x:c r="C394" s="21" t="str">
        <x:v>Lê Chi 393</x:v>
      </x:c>
      <x:c r="D394" s="21" t="str">
        <x:v>TP. Hồ Chí Minh nội thành</x:v>
      </x:c>
      <x:c r="E394" s="25" t="n">
        <x:v>11.6</x:v>
      </x:c>
      <x:c r="F394" s="26" t="n">
        <x:f>IF(B394="","",IFERROR(VLOOKUP(TRIM(B394),'Giá cước'!$A$2:$D$7,4,FALSE),"Không tìm thấy mã cước"))</x:f>
        <x:v>13000</x:v>
      </x:c>
      <x:c r="G394" s="26" t="n">
        <x:f>IF(OR(B394="",E394=""),"",IFERROR(E394*F394,""))</x:f>
        <x:v>150800</x:v>
      </x:c>
      <x:c r="H394" s="24" t="str">
        <x:f>IF(B394="","",IF(ISNUMBER(F394),"OK","Cần kiểm tra"))</x:f>
        <x:v>OK</x:v>
      </x:c>
    </x:row>
    <x:row r="395" ht="21" customHeight="1">
      <x:c r="A395" s="24" t="str">
        <x:v>FM-2026-0394</x:v>
      </x:c>
      <x:c r="B395" s="24" t="str">
        <x:v>HCM_LT</x:v>
      </x:c>
      <x:c r="C395" s="21" t="str">
        <x:v>Phạm Duy 394</x:v>
      </x:c>
      <x:c r="D395" s="21" t="str">
        <x:v>TP. Hồ Chí Minh liên tỉnh</x:v>
      </x:c>
      <x:c r="E395" s="25" t="n">
        <x:v>12.3</x:v>
      </x:c>
      <x:c r="F395" s="26" t="n">
        <x:f>IF(B395="","",IFERROR(VLOOKUP(TRIM(B395),'Giá cước'!$A$2:$D$7,4,FALSE),"Không tìm thấy mã cước"))</x:f>
        <x:v>19500</x:v>
      </x:c>
      <x:c r="G395" s="26" t="n">
        <x:f>IF(OR(B395="",E395=""),"",IFERROR(E395*F395,""))</x:f>
        <x:v>239850</x:v>
      </x:c>
      <x:c r="H395" s="24" t="str">
        <x:f>IF(B395="","",IF(ISNUMBER(F395),"OK","Cần kiểm tra"))</x:f>
        <x:v>OK</x:v>
      </x:c>
    </x:row>
    <x:row r="396" ht="21" customHeight="1">
      <x:c r="A396" s="24" t="str">
        <x:v>FM-2026-0395</x:v>
      </x:c>
      <x:c r="B396" s="24" t="str">
        <x:v>MIEN_TAY</x:v>
      </x:c>
      <x:c r="C396" s="21" t="str">
        <x:v>Võ Hà 395</x:v>
      </x:c>
      <x:c r="D396" s="21" t="str">
        <x:v>Miền Tây</x:v>
      </x:c>
      <x:c r="E396" s="25" t="n">
        <x:v>1</x:v>
      </x:c>
      <x:c r="F396" s="26" t="n">
        <x:f>IF(B396="","",IFERROR(VLOOKUP(TRIM(B396),'Giá cước'!$A$2:$D$7,4,FALSE),"Không tìm thấy mã cước"))</x:f>
        <x:v>22000</x:v>
      </x:c>
      <x:c r="G396" s="26" t="n">
        <x:f>IF(OR(B396="",E396=""),"",IFERROR(E396*F396,""))</x:f>
        <x:v>22000</x:v>
      </x:c>
      <x:c r="H396" s="24" t="str">
        <x:f>IF(B396="","",IF(ISNUMBER(F396),"OK","Cần kiểm tra"))</x:f>
        <x:v>OK</x:v>
      </x:c>
    </x:row>
    <x:row r="397" ht="21" customHeight="1">
      <x:c r="A397" s="24" t="str">
        <x:v>FM-2026-0396</x:v>
      </x:c>
      <x:c r="B397" s="24" t="str">
        <x:v>MIEN_NUI</x:v>
      </x:c>
      <x:c r="C397" s="21" t="str">
        <x:v>Đỗ Khang 396</x:v>
      </x:c>
      <x:c r="D397" s="21" t="str">
        <x:v>Miền núi</x:v>
      </x:c>
      <x:c r="E397" s="25" t="n">
        <x:v>1.7</x:v>
      </x:c>
      <x:c r="F397" s="26" t="n">
        <x:f>IF(B397="","",IFERROR(VLOOKUP(TRIM(B397),'Giá cước'!$A$2:$D$7,4,FALSE),"Không tìm thấy mã cước"))</x:f>
        <x:v>27000</x:v>
      </x:c>
      <x:c r="G397" s="26" t="n">
        <x:f>IF(OR(B397="",E397=""),"",IFERROR(E397*F397,""))</x:f>
        <x:v>45900</x:v>
      </x:c>
      <x:c r="H397" s="24" t="str">
        <x:f>IF(B397="","",IF(ISNUMBER(F397),"OK","Cần kiểm tra"))</x:f>
        <x:v>OK</x:v>
      </x:c>
    </x:row>
    <x:row r="398" ht="21" customHeight="1">
      <x:c r="A398" s="24" t="str">
        <x:v>FM-2026-0397</x:v>
      </x:c>
      <x:c r="B398" s="24" t="str">
        <x:v>HN_NT</x:v>
      </x:c>
      <x:c r="C398" s="21" t="str">
        <x:v>Bùi Lan 397</x:v>
      </x:c>
      <x:c r="D398" s="21" t="str">
        <x:v>Hà Nội nội thành</x:v>
      </x:c>
      <x:c r="E398" s="25" t="n">
        <x:v>2.4</x:v>
      </x:c>
      <x:c r="F398" s="26" t="n">
        <x:f>IF(B398="","",IFERROR(VLOOKUP(TRIM(B398),'Giá cước'!$A$2:$D$7,4,FALSE),"Không tìm thấy mã cước"))</x:f>
        <x:v>12000</x:v>
      </x:c>
      <x:c r="G398" s="26" t="n">
        <x:f>IF(OR(B398="",E398=""),"",IFERROR(E398*F398,""))</x:f>
        <x:v>28800</x:v>
      </x:c>
      <x:c r="H398" s="24" t="str">
        <x:f>IF(B398="","",IF(ISNUMBER(F398),"OK","Cần kiểm tra"))</x:f>
        <x:v>OK</x:v>
      </x:c>
    </x:row>
    <x:row r="399" ht="21" customHeight="1">
      <x:c r="A399" s="24" t="str">
        <x:v>FM-2026-0398</x:v>
      </x:c>
      <x:c r="B399" s="24" t="str">
        <x:v>HN_LT</x:v>
      </x:c>
      <x:c r="C399" s="21" t="str">
        <x:v>Hoàng Minh 398</x:v>
      </x:c>
      <x:c r="D399" s="21" t="str">
        <x:v>Hà Nội liên tỉnh</x:v>
      </x:c>
      <x:c r="E399" s="25" t="n">
        <x:v>3.1</x:v>
      </x:c>
      <x:c r="F399" s="26" t="n">
        <x:f>IF(B399="","",IFERROR(VLOOKUP(TRIM(B399),'Giá cước'!$A$2:$D$7,4,FALSE),"Không tìm thấy mã cước"))</x:f>
        <x:v>18000</x:v>
      </x:c>
      <x:c r="G399" s="26" t="n">
        <x:f>IF(OR(B399="",E399=""),"",IFERROR(E399*F399,""))</x:f>
        <x:v>55800</x:v>
      </x:c>
      <x:c r="H399" s="24" t="str">
        <x:f>IF(B399="","",IF(ISNUMBER(F399),"OK","Cần kiểm tra"))</x:f>
        <x:v>OK</x:v>
      </x:c>
    </x:row>
    <x:row r="400" ht="21" customHeight="1">
      <x:c r="A400" s="24" t="str">
        <x:v>FM-2026-0399</x:v>
      </x:c>
      <x:c r="B400" s="24" t="str">
        <x:v>HCM_NT</x:v>
      </x:c>
      <x:c r="C400" s="21" t="str">
        <x:v>Phan Ngọc 399</x:v>
      </x:c>
      <x:c r="D400" s="21" t="str">
        <x:v>TP. Hồ Chí Minh nội thành</x:v>
      </x:c>
      <x:c r="E400" s="25" t="n">
        <x:v>3.8</x:v>
      </x:c>
      <x:c r="F400" s="26" t="n">
        <x:f>IF(B400="","",IFERROR(VLOOKUP(TRIM(B400),'Giá cước'!$A$2:$D$7,4,FALSE),"Không tìm thấy mã cước"))</x:f>
        <x:v>13000</x:v>
      </x:c>
      <x:c r="G400" s="26" t="n">
        <x:f>IF(OR(B400="",E400=""),"",IFERROR(E400*F400,""))</x:f>
        <x:v>49400</x:v>
      </x:c>
      <x:c r="H400" s="24" t="str">
        <x:f>IF(B400="","",IF(ISNUMBER(F400),"OK","Cần kiểm tra"))</x:f>
        <x:v>OK</x:v>
      </x:c>
    </x:row>
    <x:row r="401" ht="21" customHeight="1">
      <x:c r="A401" s="24" t="str">
        <x:v>FM-2026-0400</x:v>
      </x:c>
      <x:c r="B401" s="24" t="str">
        <x:v>HCM_LT</x:v>
      </x:c>
      <x:c r="C401" s="21" t="str">
        <x:v>Đặng Quân 400</x:v>
      </x:c>
      <x:c r="D401" s="21" t="str">
        <x:v>TP. Hồ Chí Minh liên tỉnh</x:v>
      </x:c>
      <x:c r="E401" s="25" t="n">
        <x:v>4.5</x:v>
      </x:c>
      <x:c r="F401" s="26" t="n">
        <x:f>IF(B401="","",IFERROR(VLOOKUP(TRIM(B401),'Giá cước'!$A$2:$D$7,4,FALSE),"Không tìm thấy mã cước"))</x:f>
        <x:v>19500</x:v>
      </x:c>
      <x:c r="G401" s="26" t="n">
        <x:f>IF(OR(B401="",E401=""),"",IFERROR(E401*F401,""))</x:f>
        <x:v>87750</x:v>
      </x:c>
      <x:c r="H401" s="24" t="str">
        <x:f>IF(B401="","",IF(ISNUMBER(F401),"OK","Cần kiểm tra"))</x:f>
        <x:v>OK</x:v>
      </x:c>
    </x:row>
    <x:row r="402" ht="21" customHeight="1">
      <x:c r="A402" s="24" t="str">
        <x:v>FM-2026-0401</x:v>
      </x:c>
      <x:c r="B402" s="24" t="str">
        <x:v>MIEN_TAY</x:v>
      </x:c>
      <x:c r="C402" s="21" t="str">
        <x:v>Nguyễn An 401</x:v>
      </x:c>
      <x:c r="D402" s="21" t="str">
        <x:v>Miền Tây</x:v>
      </x:c>
      <x:c r="E402" s="25" t="n">
        <x:v>5.2</x:v>
      </x:c>
      <x:c r="F402" s="26" t="n">
        <x:f>IF(B402="","",IFERROR(VLOOKUP(TRIM(B402),'Giá cước'!$A$2:$D$7,4,FALSE),"Không tìm thấy mã cước"))</x:f>
        <x:v>22000</x:v>
      </x:c>
      <x:c r="G402" s="26" t="n">
        <x:f>IF(OR(B402="",E402=""),"",IFERROR(E402*F402,""))</x:f>
        <x:v>114400</x:v>
      </x:c>
      <x:c r="H402" s="24" t="str">
        <x:f>IF(B402="","",IF(ISNUMBER(F402),"OK","Cần kiểm tra"))</x:f>
        <x:v>OK</x:v>
      </x:c>
    </x:row>
    <x:row r="403" ht="21" customHeight="1">
      <x:c r="A403" s="24" t="str">
        <x:v>FM-2026-0402</x:v>
      </x:c>
      <x:c r="B403" s="24" t="str">
        <x:v>MIEN_NUI</x:v>
      </x:c>
      <x:c r="C403" s="21" t="str">
        <x:v>Trần Bình 402</x:v>
      </x:c>
      <x:c r="D403" s="21" t="str">
        <x:v>Miền núi</x:v>
      </x:c>
      <x:c r="E403" s="25" t="n">
        <x:v>5.9</x:v>
      </x:c>
      <x:c r="F403" s="26" t="n">
        <x:f>IF(B403="","",IFERROR(VLOOKUP(TRIM(B403),'Giá cước'!$A$2:$D$7,4,FALSE),"Không tìm thấy mã cước"))</x:f>
        <x:v>27000</x:v>
      </x:c>
      <x:c r="G403" s="26" t="n">
        <x:f>IF(OR(B403="",E403=""),"",IFERROR(E403*F403,""))</x:f>
        <x:v>159300</x:v>
      </x:c>
      <x:c r="H403" s="24" t="str">
        <x:f>IF(B403="","",IF(ISNUMBER(F403),"OK","Cần kiểm tra"))</x:f>
        <x:v>OK</x:v>
      </x:c>
    </x:row>
    <x:row r="404" ht="21" customHeight="1">
      <x:c r="A404" s="24" t="str">
        <x:v>FM-2026-0403</x:v>
      </x:c>
      <x:c r="B404" s="24" t="str">
        <x:v>HN_NT</x:v>
      </x:c>
      <x:c r="C404" s="21" t="str">
        <x:v>Lê Chi 403</x:v>
      </x:c>
      <x:c r="D404" s="21" t="str">
        <x:v>Hà Nội nội thành</x:v>
      </x:c>
      <x:c r="E404" s="25" t="n">
        <x:v>6.6</x:v>
      </x:c>
      <x:c r="F404" s="26" t="n">
        <x:f>IF(B404="","",IFERROR(VLOOKUP(TRIM(B404),'Giá cước'!$A$2:$D$7,4,FALSE),"Không tìm thấy mã cước"))</x:f>
        <x:v>12000</x:v>
      </x:c>
      <x:c r="G404" s="26" t="n">
        <x:f>IF(OR(B404="",E404=""),"",IFERROR(E404*F404,""))</x:f>
        <x:v>79200</x:v>
      </x:c>
      <x:c r="H404" s="24" t="str">
        <x:f>IF(B404="","",IF(ISNUMBER(F404),"OK","Cần kiểm tra"))</x:f>
        <x:v>OK</x:v>
      </x:c>
    </x:row>
    <x:row r="405" ht="21" customHeight="1">
      <x:c r="A405" s="24" t="str">
        <x:v>FM-2026-0404</x:v>
      </x:c>
      <x:c r="B405" s="24" t="str">
        <x:v>HN_LT</x:v>
      </x:c>
      <x:c r="C405" s="21" t="str">
        <x:v>Phạm Duy 404</x:v>
      </x:c>
      <x:c r="D405" s="21" t="str">
        <x:v>Hà Nội liên tỉnh</x:v>
      </x:c>
      <x:c r="E405" s="25" t="n">
        <x:v>7.3</x:v>
      </x:c>
      <x:c r="F405" s="26" t="n">
        <x:f>IF(B405="","",IFERROR(VLOOKUP(TRIM(B405),'Giá cước'!$A$2:$D$7,4,FALSE),"Không tìm thấy mã cước"))</x:f>
        <x:v>18000</x:v>
      </x:c>
      <x:c r="G405" s="26" t="n">
        <x:f>IF(OR(B405="",E405=""),"",IFERROR(E405*F405,""))</x:f>
        <x:v>131400</x:v>
      </x:c>
      <x:c r="H405" s="24" t="str">
        <x:f>IF(B405="","",IF(ISNUMBER(F405),"OK","Cần kiểm tra"))</x:f>
        <x:v>OK</x:v>
      </x:c>
    </x:row>
    <x:row r="406" ht="21" customHeight="1">
      <x:c r="A406" s="24" t="str">
        <x:v>FM-2026-0405</x:v>
      </x:c>
      <x:c r="B406" s="24" t="str">
        <x:v>HCM_NT</x:v>
      </x:c>
      <x:c r="C406" s="21" t="str">
        <x:v>Võ Hà 405</x:v>
      </x:c>
      <x:c r="D406" s="21" t="str">
        <x:v>TP. Hồ Chí Minh nội thành</x:v>
      </x:c>
      <x:c r="E406" s="25" t="n">
        <x:v>8</x:v>
      </x:c>
      <x:c r="F406" s="26" t="n">
        <x:f>IF(B406="","",IFERROR(VLOOKUP(TRIM(B406),'Giá cước'!$A$2:$D$7,4,FALSE),"Không tìm thấy mã cước"))</x:f>
        <x:v>13000</x:v>
      </x:c>
      <x:c r="G406" s="26" t="n">
        <x:f>IF(OR(B406="",E406=""),"",IFERROR(E406*F406,""))</x:f>
        <x:v>104000</x:v>
      </x:c>
      <x:c r="H406" s="24" t="str">
        <x:f>IF(B406="","",IF(ISNUMBER(F406),"OK","Cần kiểm tra"))</x:f>
        <x:v>OK</x:v>
      </x:c>
    </x:row>
    <x:row r="407" ht="21" customHeight="1">
      <x:c r="A407" s="24" t="str">
        <x:v>FM-2026-0406</x:v>
      </x:c>
      <x:c r="B407" s="24" t="str">
        <x:v>HCM_LT</x:v>
      </x:c>
      <x:c r="C407" s="21" t="str">
        <x:v>Đỗ Khang 406</x:v>
      </x:c>
      <x:c r="D407" s="21" t="str">
        <x:v>TP. Hồ Chí Minh liên tỉnh</x:v>
      </x:c>
      <x:c r="E407" s="25" t="n">
        <x:v>8.7</x:v>
      </x:c>
      <x:c r="F407" s="26" t="n">
        <x:f>IF(B407="","",IFERROR(VLOOKUP(TRIM(B407),'Giá cước'!$A$2:$D$7,4,FALSE),"Không tìm thấy mã cước"))</x:f>
        <x:v>19500</x:v>
      </x:c>
      <x:c r="G407" s="26" t="n">
        <x:f>IF(OR(B407="",E407=""),"",IFERROR(E407*F407,""))</x:f>
        <x:v>169650</x:v>
      </x:c>
      <x:c r="H407" s="24" t="str">
        <x:f>IF(B407="","",IF(ISNUMBER(F407),"OK","Cần kiểm tra"))</x:f>
        <x:v>OK</x:v>
      </x:c>
    </x:row>
    <x:row r="408" ht="21" customHeight="1">
      <x:c r="A408" s="24" t="str">
        <x:v>FM-2026-0407</x:v>
      </x:c>
      <x:c r="B408" s="24" t="str">
        <x:v>MIEN_TAY</x:v>
      </x:c>
      <x:c r="C408" s="21" t="str">
        <x:v>Bùi Lan 407</x:v>
      </x:c>
      <x:c r="D408" s="21" t="str">
        <x:v>Miền Tây</x:v>
      </x:c>
      <x:c r="E408" s="25" t="n">
        <x:v>9.4</x:v>
      </x:c>
      <x:c r="F408" s="26" t="n">
        <x:f>IF(B408="","",IFERROR(VLOOKUP(TRIM(B408),'Giá cước'!$A$2:$D$7,4,FALSE),"Không tìm thấy mã cước"))</x:f>
        <x:v>22000</x:v>
      </x:c>
      <x:c r="G408" s="26" t="n">
        <x:f>IF(OR(B408="",E408=""),"",IFERROR(E408*F408,""))</x:f>
        <x:v>206800</x:v>
      </x:c>
      <x:c r="H408" s="24" t="str">
        <x:f>IF(B408="","",IF(ISNUMBER(F408),"OK","Cần kiểm tra"))</x:f>
        <x:v>OK</x:v>
      </x:c>
    </x:row>
    <x:row r="409" ht="21" customHeight="1">
      <x:c r="A409" s="24" t="str">
        <x:v>FM-2026-0408</x:v>
      </x:c>
      <x:c r="B409" s="24" t="str">
        <x:v>MIEN_NUI</x:v>
      </x:c>
      <x:c r="C409" s="21" t="str">
        <x:v>Hoàng Minh 408</x:v>
      </x:c>
      <x:c r="D409" s="21" t="str">
        <x:v>Miền núi</x:v>
      </x:c>
      <x:c r="E409" s="25" t="n">
        <x:v>10.1</x:v>
      </x:c>
      <x:c r="F409" s="26" t="n">
        <x:f>IF(B409="","",IFERROR(VLOOKUP(TRIM(B409),'Giá cước'!$A$2:$D$7,4,FALSE),"Không tìm thấy mã cước"))</x:f>
        <x:v>27000</x:v>
      </x:c>
      <x:c r="G409" s="26" t="n">
        <x:f>IF(OR(B409="",E409=""),"",IFERROR(E409*F409,""))</x:f>
        <x:v>272700</x:v>
      </x:c>
      <x:c r="H409" s="24" t="str">
        <x:f>IF(B409="","",IF(ISNUMBER(F409),"OK","Cần kiểm tra"))</x:f>
        <x:v>OK</x:v>
      </x:c>
    </x:row>
    <x:row r="410" ht="21" customHeight="1">
      <x:c r="A410" s="24" t="str">
        <x:v>FM-2026-0409</x:v>
      </x:c>
      <x:c r="B410" s="24" t="str">
        <x:v>HN_NT</x:v>
      </x:c>
      <x:c r="C410" s="21" t="str">
        <x:v>Phan Ngọc 409</x:v>
      </x:c>
      <x:c r="D410" s="21" t="str">
        <x:v>Hà Nội nội thành</x:v>
      </x:c>
      <x:c r="E410" s="25" t="n">
        <x:v>10.8</x:v>
      </x:c>
      <x:c r="F410" s="26" t="n">
        <x:f>IF(B410="","",IFERROR(VLOOKUP(TRIM(B410),'Giá cước'!$A$2:$D$7,4,FALSE),"Không tìm thấy mã cước"))</x:f>
        <x:v>12000</x:v>
      </x:c>
      <x:c r="G410" s="26" t="n">
        <x:f>IF(OR(B410="",E410=""),"",IFERROR(E410*F410,""))</x:f>
        <x:v>129600.00000000001</x:v>
      </x:c>
      <x:c r="H410" s="24" t="str">
        <x:f>IF(B410="","",IF(ISNUMBER(F410),"OK","Cần kiểm tra"))</x:f>
        <x:v>OK</x:v>
      </x:c>
    </x:row>
    <x:row r="411" ht="21" customHeight="1">
      <x:c r="A411" s="24" t="str">
        <x:v>FM-2026-0410</x:v>
      </x:c>
      <x:c r="B411" s="24" t="str">
        <x:v>HN_LT</x:v>
      </x:c>
      <x:c r="C411" s="21" t="str">
        <x:v>Đặng Quân 410</x:v>
      </x:c>
      <x:c r="D411" s="21" t="str">
        <x:v>Hà Nội liên tỉnh</x:v>
      </x:c>
      <x:c r="E411" s="25" t="n">
        <x:v>11.5</x:v>
      </x:c>
      <x:c r="F411" s="26" t="n">
        <x:f>IF(B411="","",IFERROR(VLOOKUP(TRIM(B411),'Giá cước'!$A$2:$D$7,4,FALSE),"Không tìm thấy mã cước"))</x:f>
        <x:v>18000</x:v>
      </x:c>
      <x:c r="G411" s="26" t="n">
        <x:f>IF(OR(B411="",E411=""),"",IFERROR(E411*F411,""))</x:f>
        <x:v>207000</x:v>
      </x:c>
      <x:c r="H411" s="24" t="str">
        <x:f>IF(B411="","",IF(ISNUMBER(F411),"OK","Cần kiểm tra"))</x:f>
        <x:v>OK</x:v>
      </x:c>
    </x:row>
    <x:row r="412" ht="21" customHeight="1">
      <x:c r="A412" s="24" t="str">
        <x:v>FM-2026-0411</x:v>
      </x:c>
      <x:c r="B412" s="24" t="str">
        <x:v>HCM_NT</x:v>
      </x:c>
      <x:c r="C412" s="21" t="str">
        <x:v>Nguyễn An 411</x:v>
      </x:c>
      <x:c r="D412" s="21" t="str">
        <x:v>TP. Hồ Chí Minh nội thành</x:v>
      </x:c>
      <x:c r="E412" s="25" t="n">
        <x:v>12.2</x:v>
      </x:c>
      <x:c r="F412" s="26" t="n">
        <x:f>IF(B412="","",IFERROR(VLOOKUP(TRIM(B412),'Giá cước'!$A$2:$D$7,4,FALSE),"Không tìm thấy mã cước"))</x:f>
        <x:v>13000</x:v>
      </x:c>
      <x:c r="G412" s="26" t="n">
        <x:f>IF(OR(B412="",E412=""),"",IFERROR(E412*F412,""))</x:f>
        <x:v>158600</x:v>
      </x:c>
      <x:c r="H412" s="24" t="str">
        <x:f>IF(B412="","",IF(ISNUMBER(F412),"OK","Cần kiểm tra"))</x:f>
        <x:v>OK</x:v>
      </x:c>
    </x:row>
    <x:row r="413" ht="21" customHeight="1">
      <x:c r="A413" s="24" t="str">
        <x:v>FM-2026-0412</x:v>
      </x:c>
      <x:c r="B413" s="24" t="str">
        <x:v>HCM_LT</x:v>
      </x:c>
      <x:c r="C413" s="21" t="str">
        <x:v>Trần Bình 412</x:v>
      </x:c>
      <x:c r="D413" s="21" t="str">
        <x:v>TP. Hồ Chí Minh liên tỉnh</x:v>
      </x:c>
      <x:c r="E413" s="25" t="n">
        <x:v>0.9</x:v>
      </x:c>
      <x:c r="F413" s="26" t="n">
        <x:f>IF(B413="","",IFERROR(VLOOKUP(TRIM(B413),'Giá cước'!$A$2:$D$7,4,FALSE),"Không tìm thấy mã cước"))</x:f>
        <x:v>19500</x:v>
      </x:c>
      <x:c r="G413" s="26" t="n">
        <x:f>IF(OR(B413="",E413=""),"",IFERROR(E413*F413,""))</x:f>
        <x:v>17550</x:v>
      </x:c>
      <x:c r="H413" s="24" t="str">
        <x:f>IF(B413="","",IF(ISNUMBER(F413),"OK","Cần kiểm tra"))</x:f>
        <x:v>OK</x:v>
      </x:c>
    </x:row>
    <x:row r="414" ht="21" customHeight="1">
      <x:c r="A414" s="24" t="str">
        <x:v>FM-2026-0413</x:v>
      </x:c>
      <x:c r="B414" s="24" t="str">
        <x:v>MIEN_TAY</x:v>
      </x:c>
      <x:c r="C414" s="21" t="str">
        <x:v>Lê Chi 413</x:v>
      </x:c>
      <x:c r="D414" s="21" t="str">
        <x:v>Miền Tây</x:v>
      </x:c>
      <x:c r="E414" s="25" t="n">
        <x:v>1.6</x:v>
      </x:c>
      <x:c r="F414" s="26" t="n">
        <x:f>IF(B414="","",IFERROR(VLOOKUP(TRIM(B414),'Giá cước'!$A$2:$D$7,4,FALSE),"Không tìm thấy mã cước"))</x:f>
        <x:v>22000</x:v>
      </x:c>
      <x:c r="G414" s="26" t="n">
        <x:f>IF(OR(B414="",E414=""),"",IFERROR(E414*F414,""))</x:f>
        <x:v>35200</x:v>
      </x:c>
      <x:c r="H414" s="24" t="str">
        <x:f>IF(B414="","",IF(ISNUMBER(F414),"OK","Cần kiểm tra"))</x:f>
        <x:v>OK</x:v>
      </x:c>
    </x:row>
    <x:row r="415" ht="21" customHeight="1">
      <x:c r="A415" s="24" t="str">
        <x:v>FM-2026-0414</x:v>
      </x:c>
      <x:c r="B415" s="24" t="str">
        <x:v>MIEN_NUI</x:v>
      </x:c>
      <x:c r="C415" s="21" t="str">
        <x:v>Phạm Duy 414</x:v>
      </x:c>
      <x:c r="D415" s="21" t="str">
        <x:v>Miền núi</x:v>
      </x:c>
      <x:c r="E415" s="25" t="n">
        <x:v>2.3</x:v>
      </x:c>
      <x:c r="F415" s="26" t="n">
        <x:f>IF(B415="","",IFERROR(VLOOKUP(TRIM(B415),'Giá cước'!$A$2:$D$7,4,FALSE),"Không tìm thấy mã cước"))</x:f>
        <x:v>27000</x:v>
      </x:c>
      <x:c r="G415" s="26" t="n">
        <x:f>IF(OR(B415="",E415=""),"",IFERROR(E415*F415,""))</x:f>
        <x:v>62099.99999999999</x:v>
      </x:c>
      <x:c r="H415" s="24" t="str">
        <x:f>IF(B415="","",IF(ISNUMBER(F415),"OK","Cần kiểm tra"))</x:f>
        <x:v>OK</x:v>
      </x:c>
    </x:row>
    <x:row r="416" ht="21" customHeight="1">
      <x:c r="A416" s="24" t="str">
        <x:v>FM-2026-0415</x:v>
      </x:c>
      <x:c r="B416" s="24" t="str">
        <x:v>HN_NT</x:v>
      </x:c>
      <x:c r="C416" s="21" t="str">
        <x:v>Võ Hà 415</x:v>
      </x:c>
      <x:c r="D416" s="21" t="str">
        <x:v>Hà Nội nội thành</x:v>
      </x:c>
      <x:c r="E416" s="25" t="n">
        <x:v>3</x:v>
      </x:c>
      <x:c r="F416" s="26" t="n">
        <x:f>IF(B416="","",IFERROR(VLOOKUP(TRIM(B416),'Giá cước'!$A$2:$D$7,4,FALSE),"Không tìm thấy mã cước"))</x:f>
        <x:v>12000</x:v>
      </x:c>
      <x:c r="G416" s="26" t="n">
        <x:f>IF(OR(B416="",E416=""),"",IFERROR(E416*F416,""))</x:f>
        <x:v>36000</x:v>
      </x:c>
      <x:c r="H416" s="24" t="str">
        <x:f>IF(B416="","",IF(ISNUMBER(F416),"OK","Cần kiểm tra"))</x:f>
        <x:v>OK</x:v>
      </x:c>
    </x:row>
    <x:row r="417" ht="21" customHeight="1">
      <x:c r="A417" s="24" t="str">
        <x:v>FM-2026-0416</x:v>
      </x:c>
      <x:c r="B417" s="24" t="str">
        <x:v>HN_LT</x:v>
      </x:c>
      <x:c r="C417" s="21" t="str">
        <x:v>Đỗ Khang 416</x:v>
      </x:c>
      <x:c r="D417" s="21" t="str">
        <x:v>Hà Nội liên tỉnh</x:v>
      </x:c>
      <x:c r="E417" s="25" t="n">
        <x:v>3.7</x:v>
      </x:c>
      <x:c r="F417" s="26" t="n">
        <x:f>IF(B417="","",IFERROR(VLOOKUP(TRIM(B417),'Giá cước'!$A$2:$D$7,4,FALSE),"Không tìm thấy mã cước"))</x:f>
        <x:v>18000</x:v>
      </x:c>
      <x:c r="G417" s="26" t="n">
        <x:f>IF(OR(B417="",E417=""),"",IFERROR(E417*F417,""))</x:f>
        <x:v>66600</x:v>
      </x:c>
      <x:c r="H417" s="24" t="str">
        <x:f>IF(B417="","",IF(ISNUMBER(F417),"OK","Cần kiểm tra"))</x:f>
        <x:v>OK</x:v>
      </x:c>
    </x:row>
    <x:row r="418" ht="21" customHeight="1">
      <x:c r="A418" s="24" t="str">
        <x:v>FM-2026-0417</x:v>
      </x:c>
      <x:c r="B418" s="24" t="str">
        <x:v>HCM_NT</x:v>
      </x:c>
      <x:c r="C418" s="21" t="str">
        <x:v>Bùi Lan 417</x:v>
      </x:c>
      <x:c r="D418" s="21" t="str">
        <x:v>TP. Hồ Chí Minh nội thành</x:v>
      </x:c>
      <x:c r="E418" s="25" t="n">
        <x:v>4.4</x:v>
      </x:c>
      <x:c r="F418" s="26" t="n">
        <x:f>IF(B418="","",IFERROR(VLOOKUP(TRIM(B418),'Giá cước'!$A$2:$D$7,4,FALSE),"Không tìm thấy mã cước"))</x:f>
        <x:v>13000</x:v>
      </x:c>
      <x:c r="G418" s="26" t="n">
        <x:f>IF(OR(B418="",E418=""),"",IFERROR(E418*F418,""))</x:f>
        <x:v>57200.00000000001</x:v>
      </x:c>
      <x:c r="H418" s="24" t="str">
        <x:f>IF(B418="","",IF(ISNUMBER(F418),"OK","Cần kiểm tra"))</x:f>
        <x:v>OK</x:v>
      </x:c>
    </x:row>
    <x:row r="419" ht="21" customHeight="1">
      <x:c r="A419" s="24" t="str">
        <x:v>FM-2026-0418</x:v>
      </x:c>
      <x:c r="B419" s="24" t="str">
        <x:v>HCM_LT</x:v>
      </x:c>
      <x:c r="C419" s="21" t="str">
        <x:v>Hoàng Minh 418</x:v>
      </x:c>
      <x:c r="D419" s="21" t="str">
        <x:v>TP. Hồ Chí Minh liên tỉnh</x:v>
      </x:c>
      <x:c r="E419" s="25" t="n">
        <x:v>5.1</x:v>
      </x:c>
      <x:c r="F419" s="26" t="n">
        <x:f>IF(B419="","",IFERROR(VLOOKUP(TRIM(B419),'Giá cước'!$A$2:$D$7,4,FALSE),"Không tìm thấy mã cước"))</x:f>
        <x:v>19500</x:v>
      </x:c>
      <x:c r="G419" s="26" t="n">
        <x:f>IF(OR(B419="",E419=""),"",IFERROR(E419*F419,""))</x:f>
        <x:v>99450</x:v>
      </x:c>
      <x:c r="H419" s="24" t="str">
        <x:f>IF(B419="","",IF(ISNUMBER(F419),"OK","Cần kiểm tra"))</x:f>
        <x:v>OK</x:v>
      </x:c>
    </x:row>
    <x:row r="420" ht="21" customHeight="1">
      <x:c r="A420" s="24" t="str">
        <x:v>FM-2026-0419</x:v>
      </x:c>
      <x:c r="B420" s="24" t="str">
        <x:v>MIEN_TAY</x:v>
      </x:c>
      <x:c r="C420" s="21" t="str">
        <x:v>Phan Ngọc 419</x:v>
      </x:c>
      <x:c r="D420" s="21" t="str">
        <x:v>Miền Tây</x:v>
      </x:c>
      <x:c r="E420" s="25" t="n">
        <x:v>5.8</x:v>
      </x:c>
      <x:c r="F420" s="26" t="n">
        <x:f>IF(B420="","",IFERROR(VLOOKUP(TRIM(B420),'Giá cước'!$A$2:$D$7,4,FALSE),"Không tìm thấy mã cước"))</x:f>
        <x:v>22000</x:v>
      </x:c>
      <x:c r="G420" s="26" t="n">
        <x:f>IF(OR(B420="",E420=""),"",IFERROR(E420*F420,""))</x:f>
        <x:v>127600</x:v>
      </x:c>
      <x:c r="H420" s="24" t="str">
        <x:f>IF(B420="","",IF(ISNUMBER(F420),"OK","Cần kiểm tra"))</x:f>
        <x:v>OK</x:v>
      </x:c>
    </x:row>
    <x:row r="421" ht="21" customHeight="1">
      <x:c r="A421" s="24" t="str">
        <x:v>FM-2026-0420</x:v>
      </x:c>
      <x:c r="B421" s="24" t="str">
        <x:v>MIEN_NUI</x:v>
      </x:c>
      <x:c r="C421" s="21" t="str">
        <x:v>Đặng Quân 420</x:v>
      </x:c>
      <x:c r="D421" s="21" t="str">
        <x:v>Miền núi</x:v>
      </x:c>
      <x:c r="E421" s="25" t="n">
        <x:v>6.5</x:v>
      </x:c>
      <x:c r="F421" s="26" t="n">
        <x:f>IF(B421="","",IFERROR(VLOOKUP(TRIM(B421),'Giá cước'!$A$2:$D$7,4,FALSE),"Không tìm thấy mã cước"))</x:f>
        <x:v>27000</x:v>
      </x:c>
      <x:c r="G421" s="26" t="n">
        <x:f>IF(OR(B421="",E421=""),"",IFERROR(E421*F421,""))</x:f>
        <x:v>175500</x:v>
      </x:c>
      <x:c r="H421" s="24" t="str">
        <x:f>IF(B421="","",IF(ISNUMBER(F421),"OK","Cần kiểm tra"))</x:f>
        <x:v>OK</x:v>
      </x:c>
    </x:row>
    <x:row r="422" ht="21" customHeight="1">
      <x:c r="A422" s="24" t="str">
        <x:v>FM-2026-0421</x:v>
      </x:c>
      <x:c r="B422" s="24" t="str">
        <x:v>HN_NT</x:v>
      </x:c>
      <x:c r="C422" s="21" t="str">
        <x:v>Nguyễn An 421</x:v>
      </x:c>
      <x:c r="D422" s="21" t="str">
        <x:v>Hà Nội nội thành</x:v>
      </x:c>
      <x:c r="E422" s="25" t="n">
        <x:v>7.2</x:v>
      </x:c>
      <x:c r="F422" s="26" t="n">
        <x:f>IF(B422="","",IFERROR(VLOOKUP(TRIM(B422),'Giá cước'!$A$2:$D$7,4,FALSE),"Không tìm thấy mã cước"))</x:f>
        <x:v>12000</x:v>
      </x:c>
      <x:c r="G422" s="26" t="n">
        <x:f>IF(OR(B422="",E422=""),"",IFERROR(E422*F422,""))</x:f>
        <x:v>86400</x:v>
      </x:c>
      <x:c r="H422" s="24" t="str">
        <x:f>IF(B422="","",IF(ISNUMBER(F422),"OK","Cần kiểm tra"))</x:f>
        <x:v>OK</x:v>
      </x:c>
    </x:row>
    <x:row r="423" ht="21" customHeight="1">
      <x:c r="A423" s="24" t="str">
        <x:v>FM-2026-0422</x:v>
      </x:c>
      <x:c r="B423" s="24" t="str">
        <x:v>HN_LT</x:v>
      </x:c>
      <x:c r="C423" s="21" t="str">
        <x:v>Trần Bình 422</x:v>
      </x:c>
      <x:c r="D423" s="21" t="str">
        <x:v>Hà Nội liên tỉnh</x:v>
      </x:c>
      <x:c r="E423" s="25" t="n">
        <x:v>7.9</x:v>
      </x:c>
      <x:c r="F423" s="26" t="n">
        <x:f>IF(B423="","",IFERROR(VLOOKUP(TRIM(B423),'Giá cước'!$A$2:$D$7,4,FALSE),"Không tìm thấy mã cước"))</x:f>
        <x:v>18000</x:v>
      </x:c>
      <x:c r="G423" s="26" t="n">
        <x:f>IF(OR(B423="",E423=""),"",IFERROR(E423*F423,""))</x:f>
        <x:v>142200</x:v>
      </x:c>
      <x:c r="H423" s="24" t="str">
        <x:f>IF(B423="","",IF(ISNUMBER(F423),"OK","Cần kiểm tra"))</x:f>
        <x:v>OK</x:v>
      </x:c>
    </x:row>
    <x:row r="424" ht="21" customHeight="1">
      <x:c r="A424" s="24" t="str">
        <x:v>FM-2026-0423</x:v>
      </x:c>
      <x:c r="B424" s="24" t="str">
        <x:v>HCM_NT</x:v>
      </x:c>
      <x:c r="C424" s="21" t="str">
        <x:v>Lê Chi 423</x:v>
      </x:c>
      <x:c r="D424" s="21" t="str">
        <x:v>TP. Hồ Chí Minh nội thành</x:v>
      </x:c>
      <x:c r="E424" s="25" t="n">
        <x:v>8.6</x:v>
      </x:c>
      <x:c r="F424" s="26" t="n">
        <x:f>IF(B424="","",IFERROR(VLOOKUP(TRIM(B424),'Giá cước'!$A$2:$D$7,4,FALSE),"Không tìm thấy mã cước"))</x:f>
        <x:v>13000</x:v>
      </x:c>
      <x:c r="G424" s="26" t="n">
        <x:f>IF(OR(B424="",E424=""),"",IFERROR(E424*F424,""))</x:f>
        <x:v>111800</x:v>
      </x:c>
      <x:c r="H424" s="24" t="str">
        <x:f>IF(B424="","",IF(ISNUMBER(F424),"OK","Cần kiểm tra"))</x:f>
        <x:v>OK</x:v>
      </x:c>
    </x:row>
    <x:row r="425" ht="21" customHeight="1">
      <x:c r="A425" s="24" t="str">
        <x:v>FM-2026-0424</x:v>
      </x:c>
      <x:c r="B425" s="24" t="str">
        <x:v>HCM_LT</x:v>
      </x:c>
      <x:c r="C425" s="21" t="str">
        <x:v>Phạm Duy 424</x:v>
      </x:c>
      <x:c r="D425" s="21" t="str">
        <x:v>TP. Hồ Chí Minh liên tỉnh</x:v>
      </x:c>
      <x:c r="E425" s="25" t="n">
        <x:v>9.3</x:v>
      </x:c>
      <x:c r="F425" s="26" t="n">
        <x:f>IF(B425="","",IFERROR(VLOOKUP(TRIM(B425),'Giá cước'!$A$2:$D$7,4,FALSE),"Không tìm thấy mã cước"))</x:f>
        <x:v>19500</x:v>
      </x:c>
      <x:c r="G425" s="26" t="n">
        <x:f>IF(OR(B425="",E425=""),"",IFERROR(E425*F425,""))</x:f>
        <x:v>181350</x:v>
      </x:c>
      <x:c r="H425" s="24" t="str">
        <x:f>IF(B425="","",IF(ISNUMBER(F425),"OK","Cần kiểm tra"))</x:f>
        <x:v>OK</x:v>
      </x:c>
    </x:row>
    <x:row r="426" ht="21" customHeight="1">
      <x:c r="A426" s="24" t="str">
        <x:v>FM-2026-0425</x:v>
      </x:c>
      <x:c r="B426" s="24" t="str">
        <x:v>MIEN_TAY</x:v>
      </x:c>
      <x:c r="C426" s="21" t="str">
        <x:v>Võ Hà 425</x:v>
      </x:c>
      <x:c r="D426" s="21" t="str">
        <x:v>Miền Tây</x:v>
      </x:c>
      <x:c r="E426" s="25" t="n">
        <x:v>10</x:v>
      </x:c>
      <x:c r="F426" s="26" t="n">
        <x:f>IF(B426="","",IFERROR(VLOOKUP(TRIM(B426),'Giá cước'!$A$2:$D$7,4,FALSE),"Không tìm thấy mã cước"))</x:f>
        <x:v>22000</x:v>
      </x:c>
      <x:c r="G426" s="26" t="n">
        <x:f>IF(OR(B426="",E426=""),"",IFERROR(E426*F426,""))</x:f>
        <x:v>220000</x:v>
      </x:c>
      <x:c r="H426" s="24" t="str">
        <x:f>IF(B426="","",IF(ISNUMBER(F426),"OK","Cần kiểm tra"))</x:f>
        <x:v>OK</x:v>
      </x:c>
    </x:row>
    <x:row r="427" ht="21" customHeight="1">
      <x:c r="A427" s="24" t="str">
        <x:v>FM-2026-0426</x:v>
      </x:c>
      <x:c r="B427" s="24" t="str">
        <x:v>MIEN_NUI</x:v>
      </x:c>
      <x:c r="C427" s="21" t="str">
        <x:v>Đỗ Khang 426</x:v>
      </x:c>
      <x:c r="D427" s="21" t="str">
        <x:v>Miền núi</x:v>
      </x:c>
      <x:c r="E427" s="25" t="n">
        <x:v>10.7</x:v>
      </x:c>
      <x:c r="F427" s="26" t="n">
        <x:f>IF(B427="","",IFERROR(VLOOKUP(TRIM(B427),'Giá cước'!$A$2:$D$7,4,FALSE),"Không tìm thấy mã cước"))</x:f>
        <x:v>27000</x:v>
      </x:c>
      <x:c r="G427" s="26" t="n">
        <x:f>IF(OR(B427="",E427=""),"",IFERROR(E427*F427,""))</x:f>
        <x:v>288900</x:v>
      </x:c>
      <x:c r="H427" s="24" t="str">
        <x:f>IF(B427="","",IF(ISNUMBER(F427),"OK","Cần kiểm tra"))</x:f>
        <x:v>OK</x:v>
      </x:c>
    </x:row>
    <x:row r="428" ht="21" customHeight="1">
      <x:c r="A428" s="24" t="str">
        <x:v>FM-2026-0427</x:v>
      </x:c>
      <x:c r="B428" s="24" t="str">
        <x:v>HN_NT</x:v>
      </x:c>
      <x:c r="C428" s="21" t="str">
        <x:v>Bùi Lan 427</x:v>
      </x:c>
      <x:c r="D428" s="21" t="str">
        <x:v>Hà Nội nội thành</x:v>
      </x:c>
      <x:c r="E428" s="25" t="n">
        <x:v>11.4</x:v>
      </x:c>
      <x:c r="F428" s="26" t="n">
        <x:f>IF(B428="","",IFERROR(VLOOKUP(TRIM(B428),'Giá cước'!$A$2:$D$7,4,FALSE),"Không tìm thấy mã cước"))</x:f>
        <x:v>12000</x:v>
      </x:c>
      <x:c r="G428" s="26" t="n">
        <x:f>IF(OR(B428="",E428=""),"",IFERROR(E428*F428,""))</x:f>
        <x:v>136800</x:v>
      </x:c>
      <x:c r="H428" s="24" t="str">
        <x:f>IF(B428="","",IF(ISNUMBER(F428),"OK","Cần kiểm tra"))</x:f>
        <x:v>OK</x:v>
      </x:c>
    </x:row>
    <x:row r="429" ht="21" customHeight="1">
      <x:c r="A429" s="24" t="str">
        <x:v>FM-2026-0428</x:v>
      </x:c>
      <x:c r="B429" s="24" t="str">
        <x:v>HN_LT</x:v>
      </x:c>
      <x:c r="C429" s="21" t="str">
        <x:v>Hoàng Minh 428</x:v>
      </x:c>
      <x:c r="D429" s="21" t="str">
        <x:v>Hà Nội liên tỉnh</x:v>
      </x:c>
      <x:c r="E429" s="25" t="n">
        <x:v>12.1</x:v>
      </x:c>
      <x:c r="F429" s="26" t="n">
        <x:f>IF(B429="","",IFERROR(VLOOKUP(TRIM(B429),'Giá cước'!$A$2:$D$7,4,FALSE),"Không tìm thấy mã cước"))</x:f>
        <x:v>18000</x:v>
      </x:c>
      <x:c r="G429" s="26" t="n">
        <x:f>IF(OR(B429="",E429=""),"",IFERROR(E429*F429,""))</x:f>
        <x:v>217800</x:v>
      </x:c>
      <x:c r="H429" s="24" t="str">
        <x:f>IF(B429="","",IF(ISNUMBER(F429),"OK","Cần kiểm tra"))</x:f>
        <x:v>OK</x:v>
      </x:c>
    </x:row>
    <x:row r="430" ht="21" customHeight="1">
      <x:c r="A430" s="24" t="str">
        <x:v>FM-2026-0429</x:v>
      </x:c>
      <x:c r="B430" s="24" t="str">
        <x:v>HCM_NT</x:v>
      </x:c>
      <x:c r="C430" s="21" t="str">
        <x:v>Phan Ngọc 429</x:v>
      </x:c>
      <x:c r="D430" s="21" t="str">
        <x:v>TP. Hồ Chí Minh nội thành</x:v>
      </x:c>
      <x:c r="E430" s="25" t="n">
        <x:v>0.8</x:v>
      </x:c>
      <x:c r="F430" s="26" t="n">
        <x:f>IF(B430="","",IFERROR(VLOOKUP(TRIM(B430),'Giá cước'!$A$2:$D$7,4,FALSE),"Không tìm thấy mã cước"))</x:f>
        <x:v>13000</x:v>
      </x:c>
      <x:c r="G430" s="26" t="n">
        <x:f>IF(OR(B430="",E430=""),"",IFERROR(E430*F430,""))</x:f>
        <x:v>10400</x:v>
      </x:c>
      <x:c r="H430" s="24" t="str">
        <x:f>IF(B430="","",IF(ISNUMBER(F430),"OK","Cần kiểm tra"))</x:f>
        <x:v>OK</x:v>
      </x:c>
    </x:row>
    <x:row r="431" ht="21" customHeight="1">
      <x:c r="A431" s="24" t="str">
        <x:v>FM-2026-0430</x:v>
      </x:c>
      <x:c r="B431" s="24" t="str">
        <x:v>HCM_LT</x:v>
      </x:c>
      <x:c r="C431" s="21" t="str">
        <x:v>Đặng Quân 430</x:v>
      </x:c>
      <x:c r="D431" s="21" t="str">
        <x:v>TP. Hồ Chí Minh liên tỉnh</x:v>
      </x:c>
      <x:c r="E431" s="25" t="n">
        <x:v>1.5</x:v>
      </x:c>
      <x:c r="F431" s="26" t="n">
        <x:f>IF(B431="","",IFERROR(VLOOKUP(TRIM(B431),'Giá cước'!$A$2:$D$7,4,FALSE),"Không tìm thấy mã cước"))</x:f>
        <x:v>19500</x:v>
      </x:c>
      <x:c r="G431" s="26" t="n">
        <x:f>IF(OR(B431="",E431=""),"",IFERROR(E431*F431,""))</x:f>
        <x:v>29250</x:v>
      </x:c>
      <x:c r="H431" s="24" t="str">
        <x:f>IF(B431="","",IF(ISNUMBER(F431),"OK","Cần kiểm tra"))</x:f>
        <x:v>OK</x:v>
      </x:c>
    </x:row>
    <x:row r="432" ht="21" customHeight="1">
      <x:c r="A432" s="24" t="str">
        <x:v>FM-2026-0431</x:v>
      </x:c>
      <x:c r="B432" s="24" t="str">
        <x:v>MIEN_TAY</x:v>
      </x:c>
      <x:c r="C432" s="21" t="str">
        <x:v>Nguyễn An 431</x:v>
      </x:c>
      <x:c r="D432" s="21" t="str">
        <x:v>Miền Tây</x:v>
      </x:c>
      <x:c r="E432" s="25" t="n">
        <x:v>2.2</x:v>
      </x:c>
      <x:c r="F432" s="26" t="n">
        <x:f>IF(B432="","",IFERROR(VLOOKUP(TRIM(B432),'Giá cước'!$A$2:$D$7,4,FALSE),"Không tìm thấy mã cước"))</x:f>
        <x:v>22000</x:v>
      </x:c>
      <x:c r="G432" s="26" t="n">
        <x:f>IF(OR(B432="",E432=""),"",IFERROR(E432*F432,""))</x:f>
        <x:v>48400.00000000001</x:v>
      </x:c>
      <x:c r="H432" s="24" t="str">
        <x:f>IF(B432="","",IF(ISNUMBER(F432),"OK","Cần kiểm tra"))</x:f>
        <x:v>OK</x:v>
      </x:c>
    </x:row>
    <x:row r="433" ht="21" customHeight="1">
      <x:c r="A433" s="24" t="str">
        <x:v>FM-2026-0432</x:v>
      </x:c>
      <x:c r="B433" s="24" t="str">
        <x:v>MIEN_NUI</x:v>
      </x:c>
      <x:c r="C433" s="21" t="str">
        <x:v>Trần Bình 432</x:v>
      </x:c>
      <x:c r="D433" s="21" t="str">
        <x:v>Miền núi</x:v>
      </x:c>
      <x:c r="E433" s="25" t="n">
        <x:v>2.9</x:v>
      </x:c>
      <x:c r="F433" s="26" t="n">
        <x:f>IF(B433="","",IFERROR(VLOOKUP(TRIM(B433),'Giá cước'!$A$2:$D$7,4,FALSE),"Không tìm thấy mã cước"))</x:f>
        <x:v>27000</x:v>
      </x:c>
      <x:c r="G433" s="26" t="n">
        <x:f>IF(OR(B433="",E433=""),"",IFERROR(E433*F433,""))</x:f>
        <x:v>78300</x:v>
      </x:c>
      <x:c r="H433" s="24" t="str">
        <x:f>IF(B433="","",IF(ISNUMBER(F433),"OK","Cần kiểm tra"))</x:f>
        <x:v>OK</x:v>
      </x:c>
    </x:row>
    <x:row r="434" ht="21" customHeight="1">
      <x:c r="A434" s="24" t="str">
        <x:v>FM-2026-0433</x:v>
      </x:c>
      <x:c r="B434" s="24" t="str">
        <x:v>HN_NT</x:v>
      </x:c>
      <x:c r="C434" s="21" t="str">
        <x:v>Lê Chi 433</x:v>
      </x:c>
      <x:c r="D434" s="21" t="str">
        <x:v>Hà Nội nội thành</x:v>
      </x:c>
      <x:c r="E434" s="25" t="n">
        <x:v>3.6</x:v>
      </x:c>
      <x:c r="F434" s="26" t="n">
        <x:f>IF(B434="","",IFERROR(VLOOKUP(TRIM(B434),'Giá cước'!$A$2:$D$7,4,FALSE),"Không tìm thấy mã cước"))</x:f>
        <x:v>12000</x:v>
      </x:c>
      <x:c r="G434" s="26" t="n">
        <x:f>IF(OR(B434="",E434=""),"",IFERROR(E434*F434,""))</x:f>
        <x:v>43200</x:v>
      </x:c>
      <x:c r="H434" s="24" t="str">
        <x:f>IF(B434="","",IF(ISNUMBER(F434),"OK","Cần kiểm tra"))</x:f>
        <x:v>OK</x:v>
      </x:c>
    </x:row>
    <x:row r="435" ht="21" customHeight="1">
      <x:c r="A435" s="24" t="str">
        <x:v>FM-2026-0434</x:v>
      </x:c>
      <x:c r="B435" s="24" t="str">
        <x:v>HN_LT</x:v>
      </x:c>
      <x:c r="C435" s="21" t="str">
        <x:v>Phạm Duy 434</x:v>
      </x:c>
      <x:c r="D435" s="21" t="str">
        <x:v>Hà Nội liên tỉnh</x:v>
      </x:c>
      <x:c r="E435" s="25" t="n">
        <x:v>4.3</x:v>
      </x:c>
      <x:c r="F435" s="26" t="n">
        <x:f>IF(B435="","",IFERROR(VLOOKUP(TRIM(B435),'Giá cước'!$A$2:$D$7,4,FALSE),"Không tìm thấy mã cước"))</x:f>
        <x:v>18000</x:v>
      </x:c>
      <x:c r="G435" s="26" t="n">
        <x:f>IF(OR(B435="",E435=""),"",IFERROR(E435*F435,""))</x:f>
        <x:v>77400</x:v>
      </x:c>
      <x:c r="H435" s="24" t="str">
        <x:f>IF(B435="","",IF(ISNUMBER(F435),"OK","Cần kiểm tra"))</x:f>
        <x:v>OK</x:v>
      </x:c>
    </x:row>
    <x:row r="436" ht="21" customHeight="1">
      <x:c r="A436" s="24" t="str">
        <x:v>FM-2026-0435</x:v>
      </x:c>
      <x:c r="B436" s="24" t="str">
        <x:v>HCM_NT</x:v>
      </x:c>
      <x:c r="C436" s="21" t="str">
        <x:v>Võ Hà 435</x:v>
      </x:c>
      <x:c r="D436" s="21" t="str">
        <x:v>TP. Hồ Chí Minh nội thành</x:v>
      </x:c>
      <x:c r="E436" s="25" t="n">
        <x:v>5</x:v>
      </x:c>
      <x:c r="F436" s="26" t="n">
        <x:f>IF(B436="","",IFERROR(VLOOKUP(TRIM(B436),'Giá cước'!$A$2:$D$7,4,FALSE),"Không tìm thấy mã cước"))</x:f>
        <x:v>13000</x:v>
      </x:c>
      <x:c r="G436" s="26" t="n">
        <x:f>IF(OR(B436="",E436=""),"",IFERROR(E436*F436,""))</x:f>
        <x:v>65000</x:v>
      </x:c>
      <x:c r="H436" s="24" t="str">
        <x:f>IF(B436="","",IF(ISNUMBER(F436),"OK","Cần kiểm tra"))</x:f>
        <x:v>OK</x:v>
      </x:c>
    </x:row>
    <x:row r="437" ht="21" customHeight="1">
      <x:c r="A437" s="24" t="str">
        <x:v>FM-2026-0436</x:v>
      </x:c>
      <x:c r="B437" s="24" t="str">
        <x:v>HCM_LT</x:v>
      </x:c>
      <x:c r="C437" s="21" t="str">
        <x:v>Đỗ Khang 436</x:v>
      </x:c>
      <x:c r="D437" s="21" t="str">
        <x:v>TP. Hồ Chí Minh liên tỉnh</x:v>
      </x:c>
      <x:c r="E437" s="25" t="n">
        <x:v>5.7</x:v>
      </x:c>
      <x:c r="F437" s="26" t="n">
        <x:f>IF(B437="","",IFERROR(VLOOKUP(TRIM(B437),'Giá cước'!$A$2:$D$7,4,FALSE),"Không tìm thấy mã cước"))</x:f>
        <x:v>19500</x:v>
      </x:c>
      <x:c r="G437" s="26" t="n">
        <x:f>IF(OR(B437="",E437=""),"",IFERROR(E437*F437,""))</x:f>
        <x:v>111150</x:v>
      </x:c>
      <x:c r="H437" s="24" t="str">
        <x:f>IF(B437="","",IF(ISNUMBER(F437),"OK","Cần kiểm tra"))</x:f>
        <x:v>OK</x:v>
      </x:c>
    </x:row>
    <x:row r="438" ht="21" customHeight="1">
      <x:c r="A438" s="24" t="str">
        <x:v>FM-2026-0437</x:v>
      </x:c>
      <x:c r="B438" s="24" t="str">
        <x:v>MIEN_TAY</x:v>
      </x:c>
      <x:c r="C438" s="21" t="str">
        <x:v>Bùi Lan 437</x:v>
      </x:c>
      <x:c r="D438" s="21" t="str">
        <x:v>Miền Tây</x:v>
      </x:c>
      <x:c r="E438" s="25" t="n">
        <x:v>6.4</x:v>
      </x:c>
      <x:c r="F438" s="26" t="n">
        <x:f>IF(B438="","",IFERROR(VLOOKUP(TRIM(B438),'Giá cước'!$A$2:$D$7,4,FALSE),"Không tìm thấy mã cước"))</x:f>
        <x:v>22000</x:v>
      </x:c>
      <x:c r="G438" s="26" t="n">
        <x:f>IF(OR(B438="",E438=""),"",IFERROR(E438*F438,""))</x:f>
        <x:v>140800</x:v>
      </x:c>
      <x:c r="H438" s="24" t="str">
        <x:f>IF(B438="","",IF(ISNUMBER(F438),"OK","Cần kiểm tra"))</x:f>
        <x:v>OK</x:v>
      </x:c>
    </x:row>
    <x:row r="439" ht="21" customHeight="1">
      <x:c r="A439" s="24" t="str">
        <x:v>FM-2026-0438</x:v>
      </x:c>
      <x:c r="B439" s="24" t="str">
        <x:v>MIEN_NUI</x:v>
      </x:c>
      <x:c r="C439" s="21" t="str">
        <x:v>Hoàng Minh 438</x:v>
      </x:c>
      <x:c r="D439" s="21" t="str">
        <x:v>Miền núi</x:v>
      </x:c>
      <x:c r="E439" s="25" t="n">
        <x:v>7.1</x:v>
      </x:c>
      <x:c r="F439" s="26" t="n">
        <x:f>IF(B439="","",IFERROR(VLOOKUP(TRIM(B439),'Giá cước'!$A$2:$D$7,4,FALSE),"Không tìm thấy mã cước"))</x:f>
        <x:v>27000</x:v>
      </x:c>
      <x:c r="G439" s="26" t="n">
        <x:f>IF(OR(B439="",E439=""),"",IFERROR(E439*F439,""))</x:f>
        <x:v>191700</x:v>
      </x:c>
      <x:c r="H439" s="24" t="str">
        <x:f>IF(B439="","",IF(ISNUMBER(F439),"OK","Cần kiểm tra"))</x:f>
        <x:v>OK</x:v>
      </x:c>
    </x:row>
    <x:row r="440" ht="21" customHeight="1">
      <x:c r="A440" s="24" t="str">
        <x:v>FM-2026-0439</x:v>
      </x:c>
      <x:c r="B440" s="24" t="str">
        <x:v>HN_NT</x:v>
      </x:c>
      <x:c r="C440" s="21" t="str">
        <x:v>Phan Ngọc 439</x:v>
      </x:c>
      <x:c r="D440" s="21" t="str">
        <x:v>Hà Nội nội thành</x:v>
      </x:c>
      <x:c r="E440" s="25" t="n">
        <x:v>7.8</x:v>
      </x:c>
      <x:c r="F440" s="26" t="n">
        <x:f>IF(B440="","",IFERROR(VLOOKUP(TRIM(B440),'Giá cước'!$A$2:$D$7,4,FALSE),"Không tìm thấy mã cước"))</x:f>
        <x:v>12000</x:v>
      </x:c>
      <x:c r="G440" s="26" t="n">
        <x:f>IF(OR(B440="",E440=""),"",IFERROR(E440*F440,""))</x:f>
        <x:v>93600</x:v>
      </x:c>
      <x:c r="H440" s="24" t="str">
        <x:f>IF(B440="","",IF(ISNUMBER(F440),"OK","Cần kiểm tra"))</x:f>
        <x:v>OK</x:v>
      </x:c>
    </x:row>
    <x:row r="441" ht="21" customHeight="1">
      <x:c r="A441" s="24" t="str">
        <x:v>FM-2026-0440</x:v>
      </x:c>
      <x:c r="B441" s="24" t="str">
        <x:v>HN_LT</x:v>
      </x:c>
      <x:c r="C441" s="21" t="str">
        <x:v>Đặng Quân 440</x:v>
      </x:c>
      <x:c r="D441" s="21" t="str">
        <x:v>Hà Nội liên tỉnh</x:v>
      </x:c>
      <x:c r="E441" s="25" t="n">
        <x:v>8.5</x:v>
      </x:c>
      <x:c r="F441" s="26" t="n">
        <x:f>IF(B441="","",IFERROR(VLOOKUP(TRIM(B441),'Giá cước'!$A$2:$D$7,4,FALSE),"Không tìm thấy mã cước"))</x:f>
        <x:v>18000</x:v>
      </x:c>
      <x:c r="G441" s="26" t="n">
        <x:f>IF(OR(B441="",E441=""),"",IFERROR(E441*F441,""))</x:f>
        <x:v>153000</x:v>
      </x:c>
      <x:c r="H441" s="24" t="str">
        <x:f>IF(B441="","",IF(ISNUMBER(F441),"OK","Cần kiểm tra"))</x:f>
        <x:v>OK</x:v>
      </x:c>
    </x:row>
    <x:row r="442" ht="21" customHeight="1">
      <x:c r="A442" s="24" t="str">
        <x:v>FM-2026-0441</x:v>
      </x:c>
      <x:c r="B442" s="24" t="str">
        <x:v>HCM_NT</x:v>
      </x:c>
      <x:c r="C442" s="21" t="str">
        <x:v>Nguyễn An 441</x:v>
      </x:c>
      <x:c r="D442" s="21" t="str">
        <x:v>TP. Hồ Chí Minh nội thành</x:v>
      </x:c>
      <x:c r="E442" s="25" t="n">
        <x:v>9.2</x:v>
      </x:c>
      <x:c r="F442" s="26" t="n">
        <x:f>IF(B442="","",IFERROR(VLOOKUP(TRIM(B442),'Giá cước'!$A$2:$D$7,4,FALSE),"Không tìm thấy mã cước"))</x:f>
        <x:v>13000</x:v>
      </x:c>
      <x:c r="G442" s="26" t="n">
        <x:f>IF(OR(B442="",E442=""),"",IFERROR(E442*F442,""))</x:f>
        <x:v>119599.99999999999</x:v>
      </x:c>
      <x:c r="H442" s="24" t="str">
        <x:f>IF(B442="","",IF(ISNUMBER(F442),"OK","Cần kiểm tra"))</x:f>
        <x:v>OK</x:v>
      </x:c>
    </x:row>
    <x:row r="443" ht="21" customHeight="1">
      <x:c r="A443" s="24" t="str">
        <x:v>FM-2026-0442</x:v>
      </x:c>
      <x:c r="B443" s="24" t="str">
        <x:v>HCM_LT</x:v>
      </x:c>
      <x:c r="C443" s="21" t="str">
        <x:v>Trần Bình 442</x:v>
      </x:c>
      <x:c r="D443" s="21" t="str">
        <x:v>TP. Hồ Chí Minh liên tỉnh</x:v>
      </x:c>
      <x:c r="E443" s="25" t="n">
        <x:v>9.9</x:v>
      </x:c>
      <x:c r="F443" s="26" t="n">
        <x:f>IF(B443="","",IFERROR(VLOOKUP(TRIM(B443),'Giá cước'!$A$2:$D$7,4,FALSE),"Không tìm thấy mã cước"))</x:f>
        <x:v>19500</x:v>
      </x:c>
      <x:c r="G443" s="26" t="n">
        <x:f>IF(OR(B443="",E443=""),"",IFERROR(E443*F443,""))</x:f>
        <x:v>193050</x:v>
      </x:c>
      <x:c r="H443" s="24" t="str">
        <x:f>IF(B443="","",IF(ISNUMBER(F443),"OK","Cần kiểm tra"))</x:f>
        <x:v>OK</x:v>
      </x:c>
    </x:row>
    <x:row r="444" ht="21" customHeight="1">
      <x:c r="A444" s="24" t="str">
        <x:v>FM-2026-0443</x:v>
      </x:c>
      <x:c r="B444" s="24" t="str">
        <x:v>MIEN_TAY</x:v>
      </x:c>
      <x:c r="C444" s="21" t="str">
        <x:v>Lê Chi 443</x:v>
      </x:c>
      <x:c r="D444" s="21" t="str">
        <x:v>Miền Tây</x:v>
      </x:c>
      <x:c r="E444" s="25" t="n">
        <x:v>10.6</x:v>
      </x:c>
      <x:c r="F444" s="26" t="n">
        <x:f>IF(B444="","",IFERROR(VLOOKUP(TRIM(B444),'Giá cước'!$A$2:$D$7,4,FALSE),"Không tìm thấy mã cước"))</x:f>
        <x:v>22000</x:v>
      </x:c>
      <x:c r="G444" s="26" t="n">
        <x:f>IF(OR(B444="",E444=""),"",IFERROR(E444*F444,""))</x:f>
        <x:v>233200</x:v>
      </x:c>
      <x:c r="H444" s="24" t="str">
        <x:f>IF(B444="","",IF(ISNUMBER(F444),"OK","Cần kiểm tra"))</x:f>
        <x:v>OK</x:v>
      </x:c>
    </x:row>
    <x:row r="445" ht="21" customHeight="1">
      <x:c r="A445" s="24" t="str">
        <x:v>FM-2026-0444</x:v>
      </x:c>
      <x:c r="B445" s="24" t="str">
        <x:v>MIEN_NUI</x:v>
      </x:c>
      <x:c r="C445" s="21" t="str">
        <x:v>Phạm Duy 444</x:v>
      </x:c>
      <x:c r="D445" s="21" t="str">
        <x:v>Miền núi</x:v>
      </x:c>
      <x:c r="E445" s="25" t="n">
        <x:v>11.3</x:v>
      </x:c>
      <x:c r="F445" s="26" t="n">
        <x:f>IF(B445="","",IFERROR(VLOOKUP(TRIM(B445),'Giá cước'!$A$2:$D$7,4,FALSE),"Không tìm thấy mã cước"))</x:f>
        <x:v>27000</x:v>
      </x:c>
      <x:c r="G445" s="26" t="n">
        <x:f>IF(OR(B445="",E445=""),"",IFERROR(E445*F445,""))</x:f>
        <x:v>305100</x:v>
      </x:c>
      <x:c r="H445" s="24" t="str">
        <x:f>IF(B445="","",IF(ISNUMBER(F445),"OK","Cần kiểm tra"))</x:f>
        <x:v>OK</x:v>
      </x:c>
    </x:row>
    <x:row r="446" ht="21" customHeight="1">
      <x:c r="A446" s="24" t="str">
        <x:v>FM-2026-0445</x:v>
      </x:c>
      <x:c r="B446" s="24" t="str">
        <x:v>HN_NT</x:v>
      </x:c>
      <x:c r="C446" s="21" t="str">
        <x:v>Võ Hà 445</x:v>
      </x:c>
      <x:c r="D446" s="21" t="str">
        <x:v>Hà Nội nội thành</x:v>
      </x:c>
      <x:c r="E446" s="25" t="n">
        <x:v>12</x:v>
      </x:c>
      <x:c r="F446" s="26" t="n">
        <x:f>IF(B446="","",IFERROR(VLOOKUP(TRIM(B446),'Giá cước'!$A$2:$D$7,4,FALSE),"Không tìm thấy mã cước"))</x:f>
        <x:v>12000</x:v>
      </x:c>
      <x:c r="G446" s="26" t="n">
        <x:f>IF(OR(B446="",E446=""),"",IFERROR(E446*F446,""))</x:f>
        <x:v>144000</x:v>
      </x:c>
      <x:c r="H446" s="24" t="str">
        <x:f>IF(B446="","",IF(ISNUMBER(F446),"OK","Cần kiểm tra"))</x:f>
        <x:v>OK</x:v>
      </x:c>
    </x:row>
    <x:row r="447" ht="21" customHeight="1">
      <x:c r="A447" s="24" t="str">
        <x:v>FM-2026-0446</x:v>
      </x:c>
      <x:c r="B447" s="24" t="str">
        <x:v>HN_LT</x:v>
      </x:c>
      <x:c r="C447" s="21" t="str">
        <x:v>Đỗ Khang 446</x:v>
      </x:c>
      <x:c r="D447" s="21" t="str">
        <x:v>Hà Nội liên tỉnh</x:v>
      </x:c>
      <x:c r="E447" s="25" t="n">
        <x:v>0.7</x:v>
      </x:c>
      <x:c r="F447" s="26" t="n">
        <x:f>IF(B447="","",IFERROR(VLOOKUP(TRIM(B447),'Giá cước'!$A$2:$D$7,4,FALSE),"Không tìm thấy mã cước"))</x:f>
        <x:v>18000</x:v>
      </x:c>
      <x:c r="G447" s="26" t="n">
        <x:f>IF(OR(B447="",E447=""),"",IFERROR(E447*F447,""))</x:f>
        <x:v>12600</x:v>
      </x:c>
      <x:c r="H447" s="24" t="str">
        <x:f>IF(B447="","",IF(ISNUMBER(F447),"OK","Cần kiểm tra"))</x:f>
        <x:v>OK</x:v>
      </x:c>
    </x:row>
    <x:row r="448" ht="21" customHeight="1">
      <x:c r="A448" s="24" t="str">
        <x:v>FM-2026-0447</x:v>
      </x:c>
      <x:c r="B448" s="24" t="str">
        <x:v>HCM_NT</x:v>
      </x:c>
      <x:c r="C448" s="21" t="str">
        <x:v>Bùi Lan 447</x:v>
      </x:c>
      <x:c r="D448" s="21" t="str">
        <x:v>TP. Hồ Chí Minh nội thành</x:v>
      </x:c>
      <x:c r="E448" s="25" t="n">
        <x:v>1.4</x:v>
      </x:c>
      <x:c r="F448" s="26" t="n">
        <x:f>IF(B448="","",IFERROR(VLOOKUP(TRIM(B448),'Giá cước'!$A$2:$D$7,4,FALSE),"Không tìm thấy mã cước"))</x:f>
        <x:v>13000</x:v>
      </x:c>
      <x:c r="G448" s="26" t="n">
        <x:f>IF(OR(B448="",E448=""),"",IFERROR(E448*F448,""))</x:f>
        <x:v>18200</x:v>
      </x:c>
      <x:c r="H448" s="24" t="str">
        <x:f>IF(B448="","",IF(ISNUMBER(F448),"OK","Cần kiểm tra"))</x:f>
        <x:v>OK</x:v>
      </x:c>
    </x:row>
    <x:row r="449" ht="21" customHeight="1">
      <x:c r="A449" s="24" t="str">
        <x:v>FM-2026-0448</x:v>
      </x:c>
      <x:c r="B449" s="24" t="str">
        <x:v>HCM_LT</x:v>
      </x:c>
      <x:c r="C449" s="21" t="str">
        <x:v>Hoàng Minh 448</x:v>
      </x:c>
      <x:c r="D449" s="21" t="str">
        <x:v>TP. Hồ Chí Minh liên tỉnh</x:v>
      </x:c>
      <x:c r="E449" s="25" t="n">
        <x:v>2.1</x:v>
      </x:c>
      <x:c r="F449" s="26" t="n">
        <x:f>IF(B449="","",IFERROR(VLOOKUP(TRIM(B449),'Giá cước'!$A$2:$D$7,4,FALSE),"Không tìm thấy mã cước"))</x:f>
        <x:v>19500</x:v>
      </x:c>
      <x:c r="G449" s="26" t="n">
        <x:f>IF(OR(B449="",E449=""),"",IFERROR(E449*F449,""))</x:f>
        <x:v>40950</x:v>
      </x:c>
      <x:c r="H449" s="24" t="str">
        <x:f>IF(B449="","",IF(ISNUMBER(F449),"OK","Cần kiểm tra"))</x:f>
        <x:v>OK</x:v>
      </x:c>
    </x:row>
    <x:row r="450" ht="21" customHeight="1">
      <x:c r="A450" s="24" t="str">
        <x:v>FM-2026-0449</x:v>
      </x:c>
      <x:c r="B450" s="24" t="str">
        <x:v>MIEN_TAY</x:v>
      </x:c>
      <x:c r="C450" s="21" t="str">
        <x:v>Phan Ngọc 449</x:v>
      </x:c>
      <x:c r="D450" s="21" t="str">
        <x:v>Miền Tây</x:v>
      </x:c>
      <x:c r="E450" s="25" t="n">
        <x:v>2.8</x:v>
      </x:c>
      <x:c r="F450" s="26" t="n">
        <x:f>IF(B450="","",IFERROR(VLOOKUP(TRIM(B450),'Giá cước'!$A$2:$D$7,4,FALSE),"Không tìm thấy mã cước"))</x:f>
        <x:v>22000</x:v>
      </x:c>
      <x:c r="G450" s="26" t="n">
        <x:f>IF(OR(B450="",E450=""),"",IFERROR(E450*F450,""))</x:f>
        <x:v>61599.99999999999</x:v>
      </x:c>
      <x:c r="H450" s="24" t="str">
        <x:f>IF(B450="","",IF(ISNUMBER(F450),"OK","Cần kiểm tra"))</x:f>
        <x:v>OK</x:v>
      </x:c>
    </x:row>
    <x:row r="451" ht="21" customHeight="1">
      <x:c r="A451" s="24" t="str">
        <x:v>FM-2026-0450</x:v>
      </x:c>
      <x:c r="B451" s="24" t="str">
        <x:v>MIEN_NUI</x:v>
      </x:c>
      <x:c r="C451" s="21" t="str">
        <x:v>Đặng Quân 450</x:v>
      </x:c>
      <x:c r="D451" s="21" t="str">
        <x:v>Miền núi</x:v>
      </x:c>
      <x:c r="E451" s="25" t="n">
        <x:v>3.5</x:v>
      </x:c>
      <x:c r="F451" s="26" t="n">
        <x:f>IF(B451="","",IFERROR(VLOOKUP(TRIM(B451),'Giá cước'!$A$2:$D$7,4,FALSE),"Không tìm thấy mã cước"))</x:f>
        <x:v>27000</x:v>
      </x:c>
      <x:c r="G451" s="26" t="n">
        <x:f>IF(OR(B451="",E451=""),"",IFERROR(E451*F451,""))</x:f>
        <x:v>94500</x:v>
      </x:c>
      <x:c r="H451" s="24" t="str">
        <x:f>IF(B451="","",IF(ISNUMBER(F451),"OK","Cần kiểm tra"))</x:f>
        <x:v>OK</x:v>
      </x:c>
    </x:row>
    <x:row r="452" ht="21" customHeight="1">
      <x:c r="A452" s="24" t="str">
        <x:v>FM-2026-0451</x:v>
      </x:c>
      <x:c r="B452" s="24" t="str">
        <x:v>HN_NT</x:v>
      </x:c>
      <x:c r="C452" s="21" t="str">
        <x:v>Nguyễn An 451</x:v>
      </x:c>
      <x:c r="D452" s="21" t="str">
        <x:v>Hà Nội nội thành</x:v>
      </x:c>
      <x:c r="E452" s="25" t="n">
        <x:v>4.2</x:v>
      </x:c>
      <x:c r="F452" s="26" t="n">
        <x:f>IF(B452="","",IFERROR(VLOOKUP(TRIM(B452),'Giá cước'!$A$2:$D$7,4,FALSE),"Không tìm thấy mã cước"))</x:f>
        <x:v>12000</x:v>
      </x:c>
      <x:c r="G452" s="26" t="n">
        <x:f>IF(OR(B452="",E452=""),"",IFERROR(E452*F452,""))</x:f>
        <x:v>50400</x:v>
      </x:c>
      <x:c r="H452" s="24" t="str">
        <x:f>IF(B452="","",IF(ISNUMBER(F452),"OK","Cần kiểm tra"))</x:f>
        <x:v>OK</x:v>
      </x:c>
    </x:row>
    <x:row r="453" ht="21" customHeight="1">
      <x:c r="A453" s="24" t="str">
        <x:v>FM-2026-0452</x:v>
      </x:c>
      <x:c r="B453" s="24" t="str">
        <x:v>HN_LT</x:v>
      </x:c>
      <x:c r="C453" s="21" t="str">
        <x:v>Trần Bình 452</x:v>
      </x:c>
      <x:c r="D453" s="21" t="str">
        <x:v>Hà Nội liên tỉnh</x:v>
      </x:c>
      <x:c r="E453" s="25" t="n">
        <x:v>4.9</x:v>
      </x:c>
      <x:c r="F453" s="26" t="n">
        <x:f>IF(B453="","",IFERROR(VLOOKUP(TRIM(B453),'Giá cước'!$A$2:$D$7,4,FALSE),"Không tìm thấy mã cước"))</x:f>
        <x:v>18000</x:v>
      </x:c>
      <x:c r="G453" s="26" t="n">
        <x:f>IF(OR(B453="",E453=""),"",IFERROR(E453*F453,""))</x:f>
        <x:v>88200</x:v>
      </x:c>
      <x:c r="H453" s="24" t="str">
        <x:f>IF(B453="","",IF(ISNUMBER(F453),"OK","Cần kiểm tra"))</x:f>
        <x:v>OK</x:v>
      </x:c>
    </x:row>
    <x:row r="454" ht="21" customHeight="1">
      <x:c r="A454" s="24" t="str">
        <x:v>FM-2026-0453</x:v>
      </x:c>
      <x:c r="B454" s="24" t="str">
        <x:v>HCM_NT</x:v>
      </x:c>
      <x:c r="C454" s="21" t="str">
        <x:v>Lê Chi 453</x:v>
      </x:c>
      <x:c r="D454" s="21" t="str">
        <x:v>TP. Hồ Chí Minh nội thành</x:v>
      </x:c>
      <x:c r="E454" s="25" t="n">
        <x:v>5.6</x:v>
      </x:c>
      <x:c r="F454" s="26" t="n">
        <x:f>IF(B454="","",IFERROR(VLOOKUP(TRIM(B454),'Giá cước'!$A$2:$D$7,4,FALSE),"Không tìm thấy mã cước"))</x:f>
        <x:v>13000</x:v>
      </x:c>
      <x:c r="G454" s="26" t="n">
        <x:f>IF(OR(B454="",E454=""),"",IFERROR(E454*F454,""))</x:f>
        <x:v>72800</x:v>
      </x:c>
      <x:c r="H454" s="24" t="str">
        <x:f>IF(B454="","",IF(ISNUMBER(F454),"OK","Cần kiểm tra"))</x:f>
        <x:v>OK</x:v>
      </x:c>
    </x:row>
    <x:row r="455" ht="21" customHeight="1">
      <x:c r="A455" s="24" t="str">
        <x:v>FM-2026-0454</x:v>
      </x:c>
      <x:c r="B455" s="24" t="str">
        <x:v>HCM_LT</x:v>
      </x:c>
      <x:c r="C455" s="21" t="str">
        <x:v>Phạm Duy 454</x:v>
      </x:c>
      <x:c r="D455" s="21" t="str">
        <x:v>TP. Hồ Chí Minh liên tỉnh</x:v>
      </x:c>
      <x:c r="E455" s="25" t="n">
        <x:v>6.3</x:v>
      </x:c>
      <x:c r="F455" s="26" t="n">
        <x:f>IF(B455="","",IFERROR(VLOOKUP(TRIM(B455),'Giá cước'!$A$2:$D$7,4,FALSE),"Không tìm thấy mã cước"))</x:f>
        <x:v>19500</x:v>
      </x:c>
      <x:c r="G455" s="26" t="n">
        <x:f>IF(OR(B455="",E455=""),"",IFERROR(E455*F455,""))</x:f>
        <x:v>122850</x:v>
      </x:c>
      <x:c r="H455" s="24" t="str">
        <x:f>IF(B455="","",IF(ISNUMBER(F455),"OK","Cần kiểm tra"))</x:f>
        <x:v>OK</x:v>
      </x:c>
    </x:row>
    <x:row r="456" ht="21" customHeight="1">
      <x:c r="A456" s="24" t="str">
        <x:v>FM-2026-0455</x:v>
      </x:c>
      <x:c r="B456" s="24" t="str">
        <x:v>MIEN_TAY</x:v>
      </x:c>
      <x:c r="C456" s="21" t="str">
        <x:v>Võ Hà 455</x:v>
      </x:c>
      <x:c r="D456" s="21" t="str">
        <x:v>Miền Tây</x:v>
      </x:c>
      <x:c r="E456" s="25" t="n">
        <x:v>7</x:v>
      </x:c>
      <x:c r="F456" s="26" t="n">
        <x:f>IF(B456="","",IFERROR(VLOOKUP(TRIM(B456),'Giá cước'!$A$2:$D$7,4,FALSE),"Không tìm thấy mã cước"))</x:f>
        <x:v>22000</x:v>
      </x:c>
      <x:c r="G456" s="26" t="n">
        <x:f>IF(OR(B456="",E456=""),"",IFERROR(E456*F456,""))</x:f>
        <x:v>154000</x:v>
      </x:c>
      <x:c r="H456" s="24" t="str">
        <x:f>IF(B456="","",IF(ISNUMBER(F456),"OK","Cần kiểm tra"))</x:f>
        <x:v>OK</x:v>
      </x:c>
    </x:row>
    <x:row r="457" ht="21" customHeight="1">
      <x:c r="A457" s="24" t="str">
        <x:v>FM-2026-0456</x:v>
      </x:c>
      <x:c r="B457" s="24" t="str">
        <x:v>MIEN_NUI</x:v>
      </x:c>
      <x:c r="C457" s="21" t="str">
        <x:v>Đỗ Khang 456</x:v>
      </x:c>
      <x:c r="D457" s="21" t="str">
        <x:v>Miền núi</x:v>
      </x:c>
      <x:c r="E457" s="25" t="n">
        <x:v>7.7</x:v>
      </x:c>
      <x:c r="F457" s="26" t="n">
        <x:f>IF(B457="","",IFERROR(VLOOKUP(TRIM(B457),'Giá cước'!$A$2:$D$7,4,FALSE),"Không tìm thấy mã cước"))</x:f>
        <x:v>27000</x:v>
      </x:c>
      <x:c r="G457" s="26" t="n">
        <x:f>IF(OR(B457="",E457=""),"",IFERROR(E457*F457,""))</x:f>
        <x:v>207900</x:v>
      </x:c>
      <x:c r="H457" s="24" t="str">
        <x:f>IF(B457="","",IF(ISNUMBER(F457),"OK","Cần kiểm tra"))</x:f>
        <x:v>OK</x:v>
      </x:c>
    </x:row>
    <x:row r="458" ht="21" customHeight="1">
      <x:c r="A458" s="24" t="str">
        <x:v>FM-2026-0457</x:v>
      </x:c>
      <x:c r="B458" s="24" t="str">
        <x:v>HN_NT</x:v>
      </x:c>
      <x:c r="C458" s="21" t="str">
        <x:v>Bùi Lan 457</x:v>
      </x:c>
      <x:c r="D458" s="21" t="str">
        <x:v>Hà Nội nội thành</x:v>
      </x:c>
      <x:c r="E458" s="25" t="n">
        <x:v>8.4</x:v>
      </x:c>
      <x:c r="F458" s="26" t="n">
        <x:f>IF(B458="","",IFERROR(VLOOKUP(TRIM(B458),'Giá cước'!$A$2:$D$7,4,FALSE),"Không tìm thấy mã cước"))</x:f>
        <x:v>12000</x:v>
      </x:c>
      <x:c r="G458" s="26" t="n">
        <x:f>IF(OR(B458="",E458=""),"",IFERROR(E458*F458,""))</x:f>
        <x:v>100800</x:v>
      </x:c>
      <x:c r="H458" s="24" t="str">
        <x:f>IF(B458="","",IF(ISNUMBER(F458),"OK","Cần kiểm tra"))</x:f>
        <x:v>OK</x:v>
      </x:c>
    </x:row>
    <x:row r="459" ht="21" customHeight="1">
      <x:c r="A459" s="24" t="str">
        <x:v>FM-2026-0458</x:v>
      </x:c>
      <x:c r="B459" s="24" t="str">
        <x:v>HN_LT</x:v>
      </x:c>
      <x:c r="C459" s="21" t="str">
        <x:v>Hoàng Minh 458</x:v>
      </x:c>
      <x:c r="D459" s="21" t="str">
        <x:v>Hà Nội liên tỉnh</x:v>
      </x:c>
      <x:c r="E459" s="25" t="n">
        <x:v>9.1</x:v>
      </x:c>
      <x:c r="F459" s="26" t="n">
        <x:f>IF(B459="","",IFERROR(VLOOKUP(TRIM(B459),'Giá cước'!$A$2:$D$7,4,FALSE),"Không tìm thấy mã cước"))</x:f>
        <x:v>18000</x:v>
      </x:c>
      <x:c r="G459" s="26" t="n">
        <x:f>IF(OR(B459="",E459=""),"",IFERROR(E459*F459,""))</x:f>
        <x:v>163800</x:v>
      </x:c>
      <x:c r="H459" s="24" t="str">
        <x:f>IF(B459="","",IF(ISNUMBER(F459),"OK","Cần kiểm tra"))</x:f>
        <x:v>OK</x:v>
      </x:c>
    </x:row>
    <x:row r="460" ht="21" customHeight="1">
      <x:c r="A460" s="24" t="str">
        <x:v>FM-2026-0459</x:v>
      </x:c>
      <x:c r="B460" s="24" t="str">
        <x:v>HCM_NT</x:v>
      </x:c>
      <x:c r="C460" s="21" t="str">
        <x:v>Phan Ngọc 459</x:v>
      </x:c>
      <x:c r="D460" s="21" t="str">
        <x:v>TP. Hồ Chí Minh nội thành</x:v>
      </x:c>
      <x:c r="E460" s="25" t="n">
        <x:v>9.8</x:v>
      </x:c>
      <x:c r="F460" s="26" t="n">
        <x:f>IF(B460="","",IFERROR(VLOOKUP(TRIM(B460),'Giá cước'!$A$2:$D$7,4,FALSE),"Không tìm thấy mã cước"))</x:f>
        <x:v>13000</x:v>
      </x:c>
      <x:c r="G460" s="26" t="n">
        <x:f>IF(OR(B460="",E460=""),"",IFERROR(E460*F460,""))</x:f>
        <x:v>127400.00000000001</x:v>
      </x:c>
      <x:c r="H460" s="24" t="str">
        <x:f>IF(B460="","",IF(ISNUMBER(F460),"OK","Cần kiểm tra"))</x:f>
        <x:v>OK</x:v>
      </x:c>
    </x:row>
    <x:row r="461" ht="21" customHeight="1">
      <x:c r="A461" s="24" t="str">
        <x:v>FM-2026-0460</x:v>
      </x:c>
      <x:c r="B461" s="24" t="str">
        <x:v>HCM_LT</x:v>
      </x:c>
      <x:c r="C461" s="21" t="str">
        <x:v>Đặng Quân 460</x:v>
      </x:c>
      <x:c r="D461" s="21" t="str">
        <x:v>TP. Hồ Chí Minh liên tỉnh</x:v>
      </x:c>
      <x:c r="E461" s="25" t="n">
        <x:v>10.5</x:v>
      </x:c>
      <x:c r="F461" s="26" t="n">
        <x:f>IF(B461="","",IFERROR(VLOOKUP(TRIM(B461),'Giá cước'!$A$2:$D$7,4,FALSE),"Không tìm thấy mã cước"))</x:f>
        <x:v>19500</x:v>
      </x:c>
      <x:c r="G461" s="26" t="n">
        <x:f>IF(OR(B461="",E461=""),"",IFERROR(E461*F461,""))</x:f>
        <x:v>204750</x:v>
      </x:c>
      <x:c r="H461" s="24" t="str">
        <x:f>IF(B461="","",IF(ISNUMBER(F461),"OK","Cần kiểm tra"))</x:f>
        <x:v>OK</x:v>
      </x:c>
    </x:row>
    <x:row r="462" ht="21" customHeight="1">
      <x:c r="A462" s="24" t="str">
        <x:v>FM-2026-0461</x:v>
      </x:c>
      <x:c r="B462" s="24" t="str">
        <x:v>MIEN_TAY</x:v>
      </x:c>
      <x:c r="C462" s="21" t="str">
        <x:v>Nguyễn An 461</x:v>
      </x:c>
      <x:c r="D462" s="21" t="str">
        <x:v>Miền Tây</x:v>
      </x:c>
      <x:c r="E462" s="25" t="n">
        <x:v>11.2</x:v>
      </x:c>
      <x:c r="F462" s="26" t="n">
        <x:f>IF(B462="","",IFERROR(VLOOKUP(TRIM(B462),'Giá cước'!$A$2:$D$7,4,FALSE),"Không tìm thấy mã cước"))</x:f>
        <x:v>22000</x:v>
      </x:c>
      <x:c r="G462" s="26" t="n">
        <x:f>IF(OR(B462="",E462=""),"",IFERROR(E462*F462,""))</x:f>
        <x:v>246399.99999999997</x:v>
      </x:c>
      <x:c r="H462" s="24" t="str">
        <x:f>IF(B462="","",IF(ISNUMBER(F462),"OK","Cần kiểm tra"))</x:f>
        <x:v>OK</x:v>
      </x:c>
    </x:row>
    <x:row r="463" ht="21" customHeight="1">
      <x:c r="A463" s="24" t="str">
        <x:v>FM-2026-0462</x:v>
      </x:c>
      <x:c r="B463" s="24" t="str">
        <x:v>MIEN_NUI</x:v>
      </x:c>
      <x:c r="C463" s="21" t="str">
        <x:v>Trần Bình 462</x:v>
      </x:c>
      <x:c r="D463" s="21" t="str">
        <x:v>Miền núi</x:v>
      </x:c>
      <x:c r="E463" s="25" t="n">
        <x:v>11.9</x:v>
      </x:c>
      <x:c r="F463" s="26" t="n">
        <x:f>IF(B463="","",IFERROR(VLOOKUP(TRIM(B463),'Giá cước'!$A$2:$D$7,4,FALSE),"Không tìm thấy mã cước"))</x:f>
        <x:v>27000</x:v>
      </x:c>
      <x:c r="G463" s="26" t="n">
        <x:f>IF(OR(B463="",E463=""),"",IFERROR(E463*F463,""))</x:f>
        <x:v>321300</x:v>
      </x:c>
      <x:c r="H463" s="24" t="str">
        <x:f>IF(B463="","",IF(ISNUMBER(F463),"OK","Cần kiểm tra"))</x:f>
        <x:v>OK</x:v>
      </x:c>
    </x:row>
    <x:row r="464" ht="21" customHeight="1">
      <x:c r="A464" s="24" t="str">
        <x:v>FM-2026-0463</x:v>
      </x:c>
      <x:c r="B464" s="24" t="str">
        <x:v>HN_NT</x:v>
      </x:c>
      <x:c r="C464" s="21" t="str">
        <x:v>Lê Chi 463</x:v>
      </x:c>
      <x:c r="D464" s="21" t="str">
        <x:v>Hà Nội nội thành</x:v>
      </x:c>
      <x:c r="E464" s="25" t="n">
        <x:v>0.6</x:v>
      </x:c>
      <x:c r="F464" s="26" t="n">
        <x:f>IF(B464="","",IFERROR(VLOOKUP(TRIM(B464),'Giá cước'!$A$2:$D$7,4,FALSE),"Không tìm thấy mã cước"))</x:f>
        <x:v>12000</x:v>
      </x:c>
      <x:c r="G464" s="26" t="n">
        <x:f>IF(OR(B464="",E464=""),"",IFERROR(E464*F464,""))</x:f>
        <x:v>7200</x:v>
      </x:c>
      <x:c r="H464" s="24" t="str">
        <x:f>IF(B464="","",IF(ISNUMBER(F464),"OK","Cần kiểm tra"))</x:f>
        <x:v>OK</x:v>
      </x:c>
    </x:row>
    <x:row r="465" ht="21" customHeight="1">
      <x:c r="A465" s="24" t="str">
        <x:v>FM-2026-0464</x:v>
      </x:c>
      <x:c r="B465" s="24" t="str">
        <x:v>HN_LT</x:v>
      </x:c>
      <x:c r="C465" s="21" t="str">
        <x:v>Phạm Duy 464</x:v>
      </x:c>
      <x:c r="D465" s="21" t="str">
        <x:v>Hà Nội liên tỉnh</x:v>
      </x:c>
      <x:c r="E465" s="25" t="n">
        <x:v>1.3</x:v>
      </x:c>
      <x:c r="F465" s="26" t="n">
        <x:f>IF(B465="","",IFERROR(VLOOKUP(TRIM(B465),'Giá cước'!$A$2:$D$7,4,FALSE),"Không tìm thấy mã cước"))</x:f>
        <x:v>18000</x:v>
      </x:c>
      <x:c r="G465" s="26" t="n">
        <x:f>IF(OR(B465="",E465=""),"",IFERROR(E465*F465,""))</x:f>
        <x:v>23400</x:v>
      </x:c>
      <x:c r="H465" s="24" t="str">
        <x:f>IF(B465="","",IF(ISNUMBER(F465),"OK","Cần kiểm tra"))</x:f>
        <x:v>OK</x:v>
      </x:c>
    </x:row>
    <x:row r="466" ht="21" customHeight="1">
      <x:c r="A466" s="24" t="str">
        <x:v>FM-2026-0465</x:v>
      </x:c>
      <x:c r="B466" s="24" t="str">
        <x:v>HCM_NT</x:v>
      </x:c>
      <x:c r="C466" s="21" t="str">
        <x:v>Võ Hà 465</x:v>
      </x:c>
      <x:c r="D466" s="21" t="str">
        <x:v>TP. Hồ Chí Minh nội thành</x:v>
      </x:c>
      <x:c r="E466" s="25" t="n">
        <x:v>2</x:v>
      </x:c>
      <x:c r="F466" s="26" t="n">
        <x:f>IF(B466="","",IFERROR(VLOOKUP(TRIM(B466),'Giá cước'!$A$2:$D$7,4,FALSE),"Không tìm thấy mã cước"))</x:f>
        <x:v>13000</x:v>
      </x:c>
      <x:c r="G466" s="26" t="n">
        <x:f>IF(OR(B466="",E466=""),"",IFERROR(E466*F466,""))</x:f>
        <x:v>26000</x:v>
      </x:c>
      <x:c r="H466" s="24" t="str">
        <x:f>IF(B466="","",IF(ISNUMBER(F466),"OK","Cần kiểm tra"))</x:f>
        <x:v>OK</x:v>
      </x:c>
    </x:row>
    <x:row r="467" ht="21" customHeight="1">
      <x:c r="A467" s="24" t="str">
        <x:v>FM-2026-0466</x:v>
      </x:c>
      <x:c r="B467" s="24" t="str">
        <x:v>HCM_LT</x:v>
      </x:c>
      <x:c r="C467" s="21" t="str">
        <x:v>Đỗ Khang 466</x:v>
      </x:c>
      <x:c r="D467" s="21" t="str">
        <x:v>TP. Hồ Chí Minh liên tỉnh</x:v>
      </x:c>
      <x:c r="E467" s="25" t="n">
        <x:v>2.7</x:v>
      </x:c>
      <x:c r="F467" s="26" t="n">
        <x:f>IF(B467="","",IFERROR(VLOOKUP(TRIM(B467),'Giá cước'!$A$2:$D$7,4,FALSE),"Không tìm thấy mã cước"))</x:f>
        <x:v>19500</x:v>
      </x:c>
      <x:c r="G467" s="26" t="n">
        <x:f>IF(OR(B467="",E467=""),"",IFERROR(E467*F467,""))</x:f>
        <x:v>52650</x:v>
      </x:c>
      <x:c r="H467" s="24" t="str">
        <x:f>IF(B467="","",IF(ISNUMBER(F467),"OK","Cần kiểm tra"))</x:f>
        <x:v>OK</x:v>
      </x:c>
    </x:row>
    <x:row r="468" ht="21" customHeight="1">
      <x:c r="A468" s="24" t="str">
        <x:v>FM-2026-0467</x:v>
      </x:c>
      <x:c r="B468" s="24" t="str">
        <x:v>MIEN_TAY</x:v>
      </x:c>
      <x:c r="C468" s="21" t="str">
        <x:v>Bùi Lan 467</x:v>
      </x:c>
      <x:c r="D468" s="21" t="str">
        <x:v>Miền Tây</x:v>
      </x:c>
      <x:c r="E468" s="25" t="n">
        <x:v>3.4</x:v>
      </x:c>
      <x:c r="F468" s="26" t="n">
        <x:f>IF(B468="","",IFERROR(VLOOKUP(TRIM(B468),'Giá cước'!$A$2:$D$7,4,FALSE),"Không tìm thấy mã cước"))</x:f>
        <x:v>22000</x:v>
      </x:c>
      <x:c r="G468" s="26" t="n">
        <x:f>IF(OR(B468="",E468=""),"",IFERROR(E468*F468,""))</x:f>
        <x:v>74800</x:v>
      </x:c>
      <x:c r="H468" s="24" t="str">
        <x:f>IF(B468="","",IF(ISNUMBER(F468),"OK","Cần kiểm tra"))</x:f>
        <x:v>OK</x:v>
      </x:c>
    </x:row>
    <x:row r="469" ht="21" customHeight="1">
      <x:c r="A469" s="24" t="str">
        <x:v>FM-2026-0468</x:v>
      </x:c>
      <x:c r="B469" s="24" t="str">
        <x:v>MIEN_NUI</x:v>
      </x:c>
      <x:c r="C469" s="21" t="str">
        <x:v>Hoàng Minh 468</x:v>
      </x:c>
      <x:c r="D469" s="21" t="str">
        <x:v>Miền núi</x:v>
      </x:c>
      <x:c r="E469" s="25" t="n">
        <x:v>4.1</x:v>
      </x:c>
      <x:c r="F469" s="26" t="n">
        <x:f>IF(B469="","",IFERROR(VLOOKUP(TRIM(B469),'Giá cước'!$A$2:$D$7,4,FALSE),"Không tìm thấy mã cước"))</x:f>
        <x:v>27000</x:v>
      </x:c>
      <x:c r="G469" s="26" t="n">
        <x:f>IF(OR(B469="",E469=""),"",IFERROR(E469*F469,""))</x:f>
        <x:v>110699.99999999999</x:v>
      </x:c>
      <x:c r="H469" s="24" t="str">
        <x:f>IF(B469="","",IF(ISNUMBER(F469),"OK","Cần kiểm tra"))</x:f>
        <x:v>OK</x:v>
      </x:c>
    </x:row>
    <x:row r="470" ht="21" customHeight="1">
      <x:c r="A470" s="24" t="str">
        <x:v>FM-2026-0469</x:v>
      </x:c>
      <x:c r="B470" s="24" t="str">
        <x:v>HN_NT</x:v>
      </x:c>
      <x:c r="C470" s="21" t="str">
        <x:v>Phan Ngọc 469</x:v>
      </x:c>
      <x:c r="D470" s="21" t="str">
        <x:v>Hà Nội nội thành</x:v>
      </x:c>
      <x:c r="E470" s="25" t="n">
        <x:v>4.8</x:v>
      </x:c>
      <x:c r="F470" s="26" t="n">
        <x:f>IF(B470="","",IFERROR(VLOOKUP(TRIM(B470),'Giá cước'!$A$2:$D$7,4,FALSE),"Không tìm thấy mã cước"))</x:f>
        <x:v>12000</x:v>
      </x:c>
      <x:c r="G470" s="26" t="n">
        <x:f>IF(OR(B470="",E470=""),"",IFERROR(E470*F470,""))</x:f>
        <x:v>57600</x:v>
      </x:c>
      <x:c r="H470" s="24" t="str">
        <x:f>IF(B470="","",IF(ISNUMBER(F470),"OK","Cần kiểm tra"))</x:f>
        <x:v>OK</x:v>
      </x:c>
    </x:row>
    <x:row r="471" ht="21" customHeight="1">
      <x:c r="A471" s="24" t="str">
        <x:v>FM-2026-0470</x:v>
      </x:c>
      <x:c r="B471" s="24" t="str">
        <x:v>HN_LT</x:v>
      </x:c>
      <x:c r="C471" s="21" t="str">
        <x:v>Đặng Quân 470</x:v>
      </x:c>
      <x:c r="D471" s="21" t="str">
        <x:v>Hà Nội liên tỉnh</x:v>
      </x:c>
      <x:c r="E471" s="25" t="n">
        <x:v>5.5</x:v>
      </x:c>
      <x:c r="F471" s="26" t="n">
        <x:f>IF(B471="","",IFERROR(VLOOKUP(TRIM(B471),'Giá cước'!$A$2:$D$7,4,FALSE),"Không tìm thấy mã cước"))</x:f>
        <x:v>18000</x:v>
      </x:c>
      <x:c r="G471" s="26" t="n">
        <x:f>IF(OR(B471="",E471=""),"",IFERROR(E471*F471,""))</x:f>
        <x:v>99000</x:v>
      </x:c>
      <x:c r="H471" s="24" t="str">
        <x:f>IF(B471="","",IF(ISNUMBER(F471),"OK","Cần kiểm tra"))</x:f>
        <x:v>OK</x:v>
      </x:c>
    </x:row>
    <x:row r="472" ht="21" customHeight="1">
      <x:c r="A472" s="24" t="str">
        <x:v>FM-2026-0471</x:v>
      </x:c>
      <x:c r="B472" s="24" t="str">
        <x:v>HCM_NT</x:v>
      </x:c>
      <x:c r="C472" s="21" t="str">
        <x:v>Nguyễn An 471</x:v>
      </x:c>
      <x:c r="D472" s="21" t="str">
        <x:v>TP. Hồ Chí Minh nội thành</x:v>
      </x:c>
      <x:c r="E472" s="25" t="n">
        <x:v>6.2</x:v>
      </x:c>
      <x:c r="F472" s="26" t="n">
        <x:f>IF(B472="","",IFERROR(VLOOKUP(TRIM(B472),'Giá cước'!$A$2:$D$7,4,FALSE),"Không tìm thấy mã cước"))</x:f>
        <x:v>13000</x:v>
      </x:c>
      <x:c r="G472" s="26" t="n">
        <x:f>IF(OR(B472="",E472=""),"",IFERROR(E472*F472,""))</x:f>
        <x:v>80600</x:v>
      </x:c>
      <x:c r="H472" s="24" t="str">
        <x:f>IF(B472="","",IF(ISNUMBER(F472),"OK","Cần kiểm tra"))</x:f>
        <x:v>OK</x:v>
      </x:c>
    </x:row>
    <x:row r="473" ht="21" customHeight="1">
      <x:c r="A473" s="24" t="str">
        <x:v>FM-2026-0472</x:v>
      </x:c>
      <x:c r="B473" s="24" t="str">
        <x:v>HCM_LT</x:v>
      </x:c>
      <x:c r="C473" s="21" t="str">
        <x:v>Trần Bình 472</x:v>
      </x:c>
      <x:c r="D473" s="21" t="str">
        <x:v>TP. Hồ Chí Minh liên tỉnh</x:v>
      </x:c>
      <x:c r="E473" s="25" t="n">
        <x:v>6.9</x:v>
      </x:c>
      <x:c r="F473" s="26" t="n">
        <x:f>IF(B473="","",IFERROR(VLOOKUP(TRIM(B473),'Giá cước'!$A$2:$D$7,4,FALSE),"Không tìm thấy mã cước"))</x:f>
        <x:v>19500</x:v>
      </x:c>
      <x:c r="G473" s="26" t="n">
        <x:f>IF(OR(B473="",E473=""),"",IFERROR(E473*F473,""))</x:f>
        <x:v>134550</x:v>
      </x:c>
      <x:c r="H473" s="24" t="str">
        <x:f>IF(B473="","",IF(ISNUMBER(F473),"OK","Cần kiểm tra"))</x:f>
        <x:v>OK</x:v>
      </x:c>
    </x:row>
    <x:row r="474" ht="21" customHeight="1">
      <x:c r="A474" s="24" t="str">
        <x:v>FM-2026-0473</x:v>
      </x:c>
      <x:c r="B474" s="24" t="str">
        <x:v>MIEN_TAY</x:v>
      </x:c>
      <x:c r="C474" s="21" t="str">
        <x:v>Lê Chi 473</x:v>
      </x:c>
      <x:c r="D474" s="21" t="str">
        <x:v>Miền Tây</x:v>
      </x:c>
      <x:c r="E474" s="25" t="n">
        <x:v>7.6</x:v>
      </x:c>
      <x:c r="F474" s="26" t="n">
        <x:f>IF(B474="","",IFERROR(VLOOKUP(TRIM(B474),'Giá cước'!$A$2:$D$7,4,FALSE),"Không tìm thấy mã cước"))</x:f>
        <x:v>22000</x:v>
      </x:c>
      <x:c r="G474" s="26" t="n">
        <x:f>IF(OR(B474="",E474=""),"",IFERROR(E474*F474,""))</x:f>
        <x:v>167200</x:v>
      </x:c>
      <x:c r="H474" s="24" t="str">
        <x:f>IF(B474="","",IF(ISNUMBER(F474),"OK","Cần kiểm tra"))</x:f>
        <x:v>OK</x:v>
      </x:c>
    </x:row>
    <x:row r="475" ht="21" customHeight="1">
      <x:c r="A475" s="24" t="str">
        <x:v>FM-2026-0474</x:v>
      </x:c>
      <x:c r="B475" s="24" t="str">
        <x:v>MIEN_NUI</x:v>
      </x:c>
      <x:c r="C475" s="21" t="str">
        <x:v>Phạm Duy 474</x:v>
      </x:c>
      <x:c r="D475" s="21" t="str">
        <x:v>Miền núi</x:v>
      </x:c>
      <x:c r="E475" s="25" t="n">
        <x:v>8.3</x:v>
      </x:c>
      <x:c r="F475" s="26" t="n">
        <x:f>IF(B475="","",IFERROR(VLOOKUP(TRIM(B475),'Giá cước'!$A$2:$D$7,4,FALSE),"Không tìm thấy mã cước"))</x:f>
        <x:v>27000</x:v>
      </x:c>
      <x:c r="G475" s="26" t="n">
        <x:f>IF(OR(B475="",E475=""),"",IFERROR(E475*F475,""))</x:f>
        <x:v>224100.00000000003</x:v>
      </x:c>
      <x:c r="H475" s="24" t="str">
        <x:f>IF(B475="","",IF(ISNUMBER(F475),"OK","Cần kiểm tra"))</x:f>
        <x:v>OK</x:v>
      </x:c>
    </x:row>
    <x:row r="476" ht="21" customHeight="1">
      <x:c r="A476" s="24" t="str">
        <x:v>FM-2026-0475</x:v>
      </x:c>
      <x:c r="B476" s="24" t="str">
        <x:v>HN_NT</x:v>
      </x:c>
      <x:c r="C476" s="21" t="str">
        <x:v>Võ Hà 475</x:v>
      </x:c>
      <x:c r="D476" s="21" t="str">
        <x:v>Hà Nội nội thành</x:v>
      </x:c>
      <x:c r="E476" s="25" t="n">
        <x:v>9</x:v>
      </x:c>
      <x:c r="F476" s="26" t="n">
        <x:f>IF(B476="","",IFERROR(VLOOKUP(TRIM(B476),'Giá cước'!$A$2:$D$7,4,FALSE),"Không tìm thấy mã cước"))</x:f>
        <x:v>12000</x:v>
      </x:c>
      <x:c r="G476" s="26" t="n">
        <x:f>IF(OR(B476="",E476=""),"",IFERROR(E476*F476,""))</x:f>
        <x:v>108000</x:v>
      </x:c>
      <x:c r="H476" s="24" t="str">
        <x:f>IF(B476="","",IF(ISNUMBER(F476),"OK","Cần kiểm tra"))</x:f>
        <x:v>OK</x:v>
      </x:c>
    </x:row>
    <x:row r="477" ht="21" customHeight="1">
      <x:c r="A477" s="24" t="str">
        <x:v>FM-2026-0476</x:v>
      </x:c>
      <x:c r="B477" s="24" t="str">
        <x:v>HN_LT</x:v>
      </x:c>
      <x:c r="C477" s="21" t="str">
        <x:v>Đỗ Khang 476</x:v>
      </x:c>
      <x:c r="D477" s="21" t="str">
        <x:v>Hà Nội liên tỉnh</x:v>
      </x:c>
      <x:c r="E477" s="25" t="n">
        <x:v>9.7</x:v>
      </x:c>
      <x:c r="F477" s="26" t="n">
        <x:f>IF(B477="","",IFERROR(VLOOKUP(TRIM(B477),'Giá cước'!$A$2:$D$7,4,FALSE),"Không tìm thấy mã cước"))</x:f>
        <x:v>18000</x:v>
      </x:c>
      <x:c r="G477" s="26" t="n">
        <x:f>IF(OR(B477="",E477=""),"",IFERROR(E477*F477,""))</x:f>
        <x:v>174600</x:v>
      </x:c>
      <x:c r="H477" s="24" t="str">
        <x:f>IF(B477="","",IF(ISNUMBER(F477),"OK","Cần kiểm tra"))</x:f>
        <x:v>OK</x:v>
      </x:c>
    </x:row>
    <x:row r="478" ht="21" customHeight="1">
      <x:c r="A478" s="24" t="str">
        <x:v>FM-2026-0477</x:v>
      </x:c>
      <x:c r="B478" s="24" t="str">
        <x:v>HCM_NT</x:v>
      </x:c>
      <x:c r="C478" s="21" t="str">
        <x:v>Bùi Lan 477</x:v>
      </x:c>
      <x:c r="D478" s="21" t="str">
        <x:v>TP. Hồ Chí Minh nội thành</x:v>
      </x:c>
      <x:c r="E478" s="25" t="n">
        <x:v>10.4</x:v>
      </x:c>
      <x:c r="F478" s="26" t="n">
        <x:f>IF(B478="","",IFERROR(VLOOKUP(TRIM(B478),'Giá cước'!$A$2:$D$7,4,FALSE),"Không tìm thấy mã cước"))</x:f>
        <x:v>13000</x:v>
      </x:c>
      <x:c r="G478" s="26" t="n">
        <x:f>IF(OR(B478="",E478=""),"",IFERROR(E478*F478,""))</x:f>
        <x:v>135200</x:v>
      </x:c>
      <x:c r="H478" s="24" t="str">
        <x:f>IF(B478="","",IF(ISNUMBER(F478),"OK","Cần kiểm tra"))</x:f>
        <x:v>OK</x:v>
      </x:c>
    </x:row>
    <x:row r="479" ht="21" customHeight="1">
      <x:c r="A479" s="24" t="str">
        <x:v>FM-2026-0478</x:v>
      </x:c>
      <x:c r="B479" s="24" t="str">
        <x:v>HCM_LT</x:v>
      </x:c>
      <x:c r="C479" s="21" t="str">
        <x:v>Hoàng Minh 478</x:v>
      </x:c>
      <x:c r="D479" s="21" t="str">
        <x:v>TP. Hồ Chí Minh liên tỉnh</x:v>
      </x:c>
      <x:c r="E479" s="25" t="n">
        <x:v>11.1</x:v>
      </x:c>
      <x:c r="F479" s="26" t="n">
        <x:f>IF(B479="","",IFERROR(VLOOKUP(TRIM(B479),'Giá cước'!$A$2:$D$7,4,FALSE),"Không tìm thấy mã cước"))</x:f>
        <x:v>19500</x:v>
      </x:c>
      <x:c r="G479" s="26" t="n">
        <x:f>IF(OR(B479="",E479=""),"",IFERROR(E479*F479,""))</x:f>
        <x:v>216450</x:v>
      </x:c>
      <x:c r="H479" s="24" t="str">
        <x:f>IF(B479="","",IF(ISNUMBER(F479),"OK","Cần kiểm tra"))</x:f>
        <x:v>OK</x:v>
      </x:c>
    </x:row>
    <x:row r="480" ht="21" customHeight="1">
      <x:c r="A480" s="24" t="str">
        <x:v>FM-2026-0479</x:v>
      </x:c>
      <x:c r="B480" s="24" t="str">
        <x:v>MIEN_TAY</x:v>
      </x:c>
      <x:c r="C480" s="21" t="str">
        <x:v>Phan Ngọc 479</x:v>
      </x:c>
      <x:c r="D480" s="21" t="str">
        <x:v>Miền Tây</x:v>
      </x:c>
      <x:c r="E480" s="25" t="n">
        <x:v>11.8</x:v>
      </x:c>
      <x:c r="F480" s="26" t="n">
        <x:f>IF(B480="","",IFERROR(VLOOKUP(TRIM(B480),'Giá cước'!$A$2:$D$7,4,FALSE),"Không tìm thấy mã cước"))</x:f>
        <x:v>22000</x:v>
      </x:c>
      <x:c r="G480" s="26" t="n">
        <x:f>IF(OR(B480="",E480=""),"",IFERROR(E480*F480,""))</x:f>
        <x:v>259600.00000000003</x:v>
      </x:c>
      <x:c r="H480" s="24" t="str">
        <x:f>IF(B480="","",IF(ISNUMBER(F480),"OK","Cần kiểm tra"))</x:f>
        <x:v>OK</x:v>
      </x:c>
    </x:row>
    <x:row r="481" ht="21" customHeight="1">
      <x:c r="A481" s="24" t="str">
        <x:v>FM-2026-0480</x:v>
      </x:c>
      <x:c r="B481" s="24" t="str">
        <x:v>MIEN_NUI</x:v>
      </x:c>
      <x:c r="C481" s="21" t="str">
        <x:v>Đặng Quân 480</x:v>
      </x:c>
      <x:c r="D481" s="21" t="str">
        <x:v>Miền núi</x:v>
      </x:c>
      <x:c r="E481" s="25" t="n">
        <x:v>0.5</x:v>
      </x:c>
      <x:c r="F481" s="26" t="n">
        <x:f>IF(B481="","",IFERROR(VLOOKUP(TRIM(B481),'Giá cước'!$A$2:$D$7,4,FALSE),"Không tìm thấy mã cước"))</x:f>
        <x:v>27000</x:v>
      </x:c>
      <x:c r="G481" s="26" t="n">
        <x:f>IF(OR(B481="",E481=""),"",IFERROR(E481*F481,""))</x:f>
        <x:v>13500</x:v>
      </x:c>
      <x:c r="H481" s="24" t="str">
        <x:f>IF(B481="","",IF(ISNUMBER(F481),"OK","Cần kiểm tra"))</x:f>
        <x:v>OK</x:v>
      </x:c>
    </x:row>
    <x:row r="482" ht="21" customHeight="1">
      <x:c r="A482" s="24" t="str">
        <x:v>FM-2026-0481</x:v>
      </x:c>
      <x:c r="B482" s="24" t="str">
        <x:v>HN_NT</x:v>
      </x:c>
      <x:c r="C482" s="21" t="str">
        <x:v>Nguyễn An 481</x:v>
      </x:c>
      <x:c r="D482" s="21" t="str">
        <x:v>Hà Nội nội thành</x:v>
      </x:c>
      <x:c r="E482" s="25" t="n">
        <x:v>1.2</x:v>
      </x:c>
      <x:c r="F482" s="26" t="n">
        <x:f>IF(B482="","",IFERROR(VLOOKUP(TRIM(B482),'Giá cước'!$A$2:$D$7,4,FALSE),"Không tìm thấy mã cước"))</x:f>
        <x:v>12000</x:v>
      </x:c>
      <x:c r="G482" s="26" t="n">
        <x:f>IF(OR(B482="",E482=""),"",IFERROR(E482*F482,""))</x:f>
        <x:v>14400</x:v>
      </x:c>
      <x:c r="H482" s="24" t="str">
        <x:f>IF(B482="","",IF(ISNUMBER(F482),"OK","Cần kiểm tra"))</x:f>
        <x:v>OK</x:v>
      </x:c>
    </x:row>
    <x:row r="483" ht="21" customHeight="1">
      <x:c r="A483" s="24" t="str">
        <x:v>FM-2026-0482</x:v>
      </x:c>
      <x:c r="B483" s="24" t="str">
        <x:v>HN_LT</x:v>
      </x:c>
      <x:c r="C483" s="21" t="str">
        <x:v>Trần Bình 482</x:v>
      </x:c>
      <x:c r="D483" s="21" t="str">
        <x:v>Hà Nội liên tỉnh</x:v>
      </x:c>
      <x:c r="E483" s="25" t="n">
        <x:v>1.9</x:v>
      </x:c>
      <x:c r="F483" s="26" t="n">
        <x:f>IF(B483="","",IFERROR(VLOOKUP(TRIM(B483),'Giá cước'!$A$2:$D$7,4,FALSE),"Không tìm thấy mã cước"))</x:f>
        <x:v>18000</x:v>
      </x:c>
      <x:c r="G483" s="26" t="n">
        <x:f>IF(OR(B483="",E483=""),"",IFERROR(E483*F483,""))</x:f>
        <x:v>34200</x:v>
      </x:c>
      <x:c r="H483" s="24" t="str">
        <x:f>IF(B483="","",IF(ISNUMBER(F483),"OK","Cần kiểm tra"))</x:f>
        <x:v>OK</x:v>
      </x:c>
    </x:row>
    <x:row r="484" ht="21" customHeight="1">
      <x:c r="A484" s="24" t="str">
        <x:v>FM-2026-0483</x:v>
      </x:c>
      <x:c r="B484" s="24" t="str">
        <x:v>HCM_NT</x:v>
      </x:c>
      <x:c r="C484" s="21" t="str">
        <x:v>Lê Chi 483</x:v>
      </x:c>
      <x:c r="D484" s="21" t="str">
        <x:v>TP. Hồ Chí Minh nội thành</x:v>
      </x:c>
      <x:c r="E484" s="25" t="n">
        <x:v>2.6</x:v>
      </x:c>
      <x:c r="F484" s="26" t="n">
        <x:f>IF(B484="","",IFERROR(VLOOKUP(TRIM(B484),'Giá cước'!$A$2:$D$7,4,FALSE),"Không tìm thấy mã cước"))</x:f>
        <x:v>13000</x:v>
      </x:c>
      <x:c r="G484" s="26" t="n">
        <x:f>IF(OR(B484="",E484=""),"",IFERROR(E484*F484,""))</x:f>
        <x:v>33800</x:v>
      </x:c>
      <x:c r="H484" s="24" t="str">
        <x:f>IF(B484="","",IF(ISNUMBER(F484),"OK","Cần kiểm tra"))</x:f>
        <x:v>OK</x:v>
      </x:c>
    </x:row>
    <x:row r="485" ht="21" customHeight="1">
      <x:c r="A485" s="24" t="str">
        <x:v>FM-2026-0484</x:v>
      </x:c>
      <x:c r="B485" s="24" t="str">
        <x:v>HCM_LT</x:v>
      </x:c>
      <x:c r="C485" s="21" t="str">
        <x:v>Phạm Duy 484</x:v>
      </x:c>
      <x:c r="D485" s="21" t="str">
        <x:v>TP. Hồ Chí Minh liên tỉnh</x:v>
      </x:c>
      <x:c r="E485" s="25" t="n">
        <x:v>3.3</x:v>
      </x:c>
      <x:c r="F485" s="26" t="n">
        <x:f>IF(B485="","",IFERROR(VLOOKUP(TRIM(B485),'Giá cước'!$A$2:$D$7,4,FALSE),"Không tìm thấy mã cước"))</x:f>
        <x:v>19500</x:v>
      </x:c>
      <x:c r="G485" s="26" t="n">
        <x:f>IF(OR(B485="",E485=""),"",IFERROR(E485*F485,""))</x:f>
        <x:v>64350</x:v>
      </x:c>
      <x:c r="H485" s="24" t="str">
        <x:f>IF(B485="","",IF(ISNUMBER(F485),"OK","Cần kiểm tra"))</x:f>
        <x:v>OK</x:v>
      </x:c>
    </x:row>
    <x:row r="486" ht="21" customHeight="1">
      <x:c r="A486" s="24" t="str">
        <x:v>FM-2026-0485</x:v>
      </x:c>
      <x:c r="B486" s="24" t="str">
        <x:v>MIEN_TAY</x:v>
      </x:c>
      <x:c r="C486" s="21" t="str">
        <x:v>Võ Hà 485</x:v>
      </x:c>
      <x:c r="D486" s="21" t="str">
        <x:v>Miền Tây</x:v>
      </x:c>
      <x:c r="E486" s="25" t="n">
        <x:v>4</x:v>
      </x:c>
      <x:c r="F486" s="26" t="n">
        <x:f>IF(B486="","",IFERROR(VLOOKUP(TRIM(B486),'Giá cước'!$A$2:$D$7,4,FALSE),"Không tìm thấy mã cước"))</x:f>
        <x:v>22000</x:v>
      </x:c>
      <x:c r="G486" s="26" t="n">
        <x:f>IF(OR(B486="",E486=""),"",IFERROR(E486*F486,""))</x:f>
        <x:v>88000</x:v>
      </x:c>
      <x:c r="H486" s="24" t="str">
        <x:f>IF(B486="","",IF(ISNUMBER(F486),"OK","Cần kiểm tra"))</x:f>
        <x:v>OK</x:v>
      </x:c>
    </x:row>
    <x:row r="487" ht="21" customHeight="1">
      <x:c r="A487" s="24" t="str">
        <x:v>FM-2026-0486</x:v>
      </x:c>
      <x:c r="B487" s="24" t="str">
        <x:v>MIEN_NUI</x:v>
      </x:c>
      <x:c r="C487" s="21" t="str">
        <x:v>Đỗ Khang 486</x:v>
      </x:c>
      <x:c r="D487" s="21" t="str">
        <x:v>Miền núi</x:v>
      </x:c>
      <x:c r="E487" s="25" t="n">
        <x:v>4.7</x:v>
      </x:c>
      <x:c r="F487" s="26" t="n">
        <x:f>IF(B487="","",IFERROR(VLOOKUP(TRIM(B487),'Giá cước'!$A$2:$D$7,4,FALSE),"Không tìm thấy mã cước"))</x:f>
        <x:v>27000</x:v>
      </x:c>
      <x:c r="G487" s="26" t="n">
        <x:f>IF(OR(B487="",E487=""),"",IFERROR(E487*F487,""))</x:f>
        <x:v>126900</x:v>
      </x:c>
      <x:c r="H487" s="24" t="str">
        <x:f>IF(B487="","",IF(ISNUMBER(F487),"OK","Cần kiểm tra"))</x:f>
        <x:v>OK</x:v>
      </x:c>
    </x:row>
    <x:row r="488" ht="21" customHeight="1">
      <x:c r="A488" s="24" t="str">
        <x:v>FM-2026-0487</x:v>
      </x:c>
      <x:c r="B488" s="24" t="str">
        <x:v>HN_NT</x:v>
      </x:c>
      <x:c r="C488" s="21" t="str">
        <x:v>Bùi Lan 487</x:v>
      </x:c>
      <x:c r="D488" s="21" t="str">
        <x:v>Hà Nội nội thành</x:v>
      </x:c>
      <x:c r="E488" s="25" t="n">
        <x:v>5.4</x:v>
      </x:c>
      <x:c r="F488" s="26" t="n">
        <x:f>IF(B488="","",IFERROR(VLOOKUP(TRIM(B488),'Giá cước'!$A$2:$D$7,4,FALSE),"Không tìm thấy mã cước"))</x:f>
        <x:v>12000</x:v>
      </x:c>
      <x:c r="G488" s="26" t="n">
        <x:f>IF(OR(B488="",E488=""),"",IFERROR(E488*F488,""))</x:f>
        <x:v>64800.00000000001</x:v>
      </x:c>
      <x:c r="H488" s="24" t="str">
        <x:f>IF(B488="","",IF(ISNUMBER(F488),"OK","Cần kiểm tra"))</x:f>
        <x:v>OK</x:v>
      </x:c>
    </x:row>
    <x:row r="489" ht="21" customHeight="1">
      <x:c r="A489" s="24" t="str">
        <x:v>FM-2026-0488</x:v>
      </x:c>
      <x:c r="B489" s="24" t="str">
        <x:v>HN_LT</x:v>
      </x:c>
      <x:c r="C489" s="21" t="str">
        <x:v>Hoàng Minh 488</x:v>
      </x:c>
      <x:c r="D489" s="21" t="str">
        <x:v>Hà Nội liên tỉnh</x:v>
      </x:c>
      <x:c r="E489" s="25" t="n">
        <x:v>6.1</x:v>
      </x:c>
      <x:c r="F489" s="26" t="n">
        <x:f>IF(B489="","",IFERROR(VLOOKUP(TRIM(B489),'Giá cước'!$A$2:$D$7,4,FALSE),"Không tìm thấy mã cước"))</x:f>
        <x:v>18000</x:v>
      </x:c>
      <x:c r="G489" s="26" t="n">
        <x:f>IF(OR(B489="",E489=""),"",IFERROR(E489*F489,""))</x:f>
        <x:v>109800</x:v>
      </x:c>
      <x:c r="H489" s="24" t="str">
        <x:f>IF(B489="","",IF(ISNUMBER(F489),"OK","Cần kiểm tra"))</x:f>
        <x:v>OK</x:v>
      </x:c>
    </x:row>
    <x:row r="490" ht="21" customHeight="1">
      <x:c r="A490" s="24" t="str">
        <x:v>FM-2026-0489</x:v>
      </x:c>
      <x:c r="B490" s="24" t="str">
        <x:v>HCM_NT</x:v>
      </x:c>
      <x:c r="C490" s="21" t="str">
        <x:v>Phan Ngọc 489</x:v>
      </x:c>
      <x:c r="D490" s="21" t="str">
        <x:v>TP. Hồ Chí Minh nội thành</x:v>
      </x:c>
      <x:c r="E490" s="25" t="n">
        <x:v>6.8</x:v>
      </x:c>
      <x:c r="F490" s="26" t="n">
        <x:f>IF(B490="","",IFERROR(VLOOKUP(TRIM(B490),'Giá cước'!$A$2:$D$7,4,FALSE),"Không tìm thấy mã cước"))</x:f>
        <x:v>13000</x:v>
      </x:c>
      <x:c r="G490" s="26" t="n">
        <x:f>IF(OR(B490="",E490=""),"",IFERROR(E490*F490,""))</x:f>
        <x:v>88400</x:v>
      </x:c>
      <x:c r="H490" s="24" t="str">
        <x:f>IF(B490="","",IF(ISNUMBER(F490),"OK","Cần kiểm tra"))</x:f>
        <x:v>OK</x:v>
      </x:c>
    </x:row>
    <x:row r="491" ht="21" customHeight="1">
      <x:c r="A491" s="24" t="str">
        <x:v>FM-2026-0490</x:v>
      </x:c>
      <x:c r="B491" s="24" t="str">
        <x:v>HCM_LT</x:v>
      </x:c>
      <x:c r="C491" s="21" t="str">
        <x:v>Đặng Quân 490</x:v>
      </x:c>
      <x:c r="D491" s="21" t="str">
        <x:v>TP. Hồ Chí Minh liên tỉnh</x:v>
      </x:c>
      <x:c r="E491" s="25" t="n">
        <x:v>7.5</x:v>
      </x:c>
      <x:c r="F491" s="26" t="n">
        <x:f>IF(B491="","",IFERROR(VLOOKUP(TRIM(B491),'Giá cước'!$A$2:$D$7,4,FALSE),"Không tìm thấy mã cước"))</x:f>
        <x:v>19500</x:v>
      </x:c>
      <x:c r="G491" s="26" t="n">
        <x:f>IF(OR(B491="",E491=""),"",IFERROR(E491*F491,""))</x:f>
        <x:v>146250</x:v>
      </x:c>
      <x:c r="H491" s="24" t="str">
        <x:f>IF(B491="","",IF(ISNUMBER(F491),"OK","Cần kiểm tra"))</x:f>
        <x:v>OK</x:v>
      </x:c>
    </x:row>
    <x:row r="492" ht="21" customHeight="1">
      <x:c r="A492" s="24" t="str">
        <x:v>FM-2026-0491</x:v>
      </x:c>
      <x:c r="B492" s="24" t="str">
        <x:v>MIEN_TAY</x:v>
      </x:c>
      <x:c r="C492" s="21" t="str">
        <x:v>Nguyễn An 491</x:v>
      </x:c>
      <x:c r="D492" s="21" t="str">
        <x:v>Miền Tây</x:v>
      </x:c>
      <x:c r="E492" s="25" t="n">
        <x:v>8.2</x:v>
      </x:c>
      <x:c r="F492" s="26" t="n">
        <x:f>IF(B492="","",IFERROR(VLOOKUP(TRIM(B492),'Giá cước'!$A$2:$D$7,4,FALSE),"Không tìm thấy mã cước"))</x:f>
        <x:v>22000</x:v>
      </x:c>
      <x:c r="G492" s="26" t="n">
        <x:f>IF(OR(B492="",E492=""),"",IFERROR(E492*F492,""))</x:f>
        <x:v>180399.99999999997</x:v>
      </x:c>
      <x:c r="H492" s="24" t="str">
        <x:f>IF(B492="","",IF(ISNUMBER(F492),"OK","Cần kiểm tra"))</x:f>
        <x:v>OK</x:v>
      </x:c>
    </x:row>
    <x:row r="493" ht="21" customHeight="1">
      <x:c r="A493" s="24" t="str">
        <x:v>FM-2026-0492</x:v>
      </x:c>
      <x:c r="B493" s="24" t="str">
        <x:v>MIEN_NUI</x:v>
      </x:c>
      <x:c r="C493" s="21" t="str">
        <x:v>Trần Bình 492</x:v>
      </x:c>
      <x:c r="D493" s="21" t="str">
        <x:v>Miền núi</x:v>
      </x:c>
      <x:c r="E493" s="25" t="n">
        <x:v>8.9</x:v>
      </x:c>
      <x:c r="F493" s="26" t="n">
        <x:f>IF(B493="","",IFERROR(VLOOKUP(TRIM(B493),'Giá cước'!$A$2:$D$7,4,FALSE),"Không tìm thấy mã cước"))</x:f>
        <x:v>27000</x:v>
      </x:c>
      <x:c r="G493" s="26" t="n">
        <x:f>IF(OR(B493="",E493=""),"",IFERROR(E493*F493,""))</x:f>
        <x:v>240300</x:v>
      </x:c>
      <x:c r="H493" s="24" t="str">
        <x:f>IF(B493="","",IF(ISNUMBER(F493),"OK","Cần kiểm tra"))</x:f>
        <x:v>OK</x:v>
      </x:c>
    </x:row>
    <x:row r="494" ht="21" customHeight="1">
      <x:c r="A494" s="24" t="str">
        <x:v>FM-2026-0493</x:v>
      </x:c>
      <x:c r="B494" s="24" t="str">
        <x:v>HN_NT</x:v>
      </x:c>
      <x:c r="C494" s="21" t="str">
        <x:v>Lê Chi 493</x:v>
      </x:c>
      <x:c r="D494" s="21" t="str">
        <x:v>Hà Nội nội thành</x:v>
      </x:c>
      <x:c r="E494" s="25" t="n">
        <x:v>9.6</x:v>
      </x:c>
      <x:c r="F494" s="26" t="n">
        <x:f>IF(B494="","",IFERROR(VLOOKUP(TRIM(B494),'Giá cước'!$A$2:$D$7,4,FALSE),"Không tìm thấy mã cước"))</x:f>
        <x:v>12000</x:v>
      </x:c>
      <x:c r="G494" s="26" t="n">
        <x:f>IF(OR(B494="",E494=""),"",IFERROR(E494*F494,""))</x:f>
        <x:v>115200</x:v>
      </x:c>
      <x:c r="H494" s="24" t="str">
        <x:f>IF(B494="","",IF(ISNUMBER(F494),"OK","Cần kiểm tra"))</x:f>
        <x:v>OK</x:v>
      </x:c>
    </x:row>
    <x:row r="495" ht="21" customHeight="1">
      <x:c r="A495" s="24" t="str">
        <x:v>FM-2026-0494</x:v>
      </x:c>
      <x:c r="B495" s="24" t="str">
        <x:v>HN_LT</x:v>
      </x:c>
      <x:c r="C495" s="21" t="str">
        <x:v>Phạm Duy 494</x:v>
      </x:c>
      <x:c r="D495" s="21" t="str">
        <x:v>Hà Nội liên tỉnh</x:v>
      </x:c>
      <x:c r="E495" s="25" t="n">
        <x:v>10.3</x:v>
      </x:c>
      <x:c r="F495" s="26" t="n">
        <x:f>IF(B495="","",IFERROR(VLOOKUP(TRIM(B495),'Giá cước'!$A$2:$D$7,4,FALSE),"Không tìm thấy mã cước"))</x:f>
        <x:v>18000</x:v>
      </x:c>
      <x:c r="G495" s="26" t="n">
        <x:f>IF(OR(B495="",E495=""),"",IFERROR(E495*F495,""))</x:f>
        <x:v>185400</x:v>
      </x:c>
      <x:c r="H495" s="24" t="str">
        <x:f>IF(B495="","",IF(ISNUMBER(F495),"OK","Cần kiểm tra"))</x:f>
        <x:v>OK</x:v>
      </x:c>
    </x:row>
    <x:row r="496" ht="21" customHeight="1">
      <x:c r="A496" s="24" t="str">
        <x:v>FM-2026-0495</x:v>
      </x:c>
      <x:c r="B496" s="24" t="str">
        <x:v>HCM_NT</x:v>
      </x:c>
      <x:c r="C496" s="21" t="str">
        <x:v>Võ Hà 495</x:v>
      </x:c>
      <x:c r="D496" s="21" t="str">
        <x:v>TP. Hồ Chí Minh nội thành</x:v>
      </x:c>
      <x:c r="E496" s="25" t="n">
        <x:v>11</x:v>
      </x:c>
      <x:c r="F496" s="26" t="n">
        <x:f>IF(B496="","",IFERROR(VLOOKUP(TRIM(B496),'Giá cước'!$A$2:$D$7,4,FALSE),"Không tìm thấy mã cước"))</x:f>
        <x:v>13000</x:v>
      </x:c>
      <x:c r="G496" s="26" t="n">
        <x:f>IF(OR(B496="",E496=""),"",IFERROR(E496*F496,""))</x:f>
        <x:v>143000</x:v>
      </x:c>
      <x:c r="H496" s="24" t="str">
        <x:f>IF(B496="","",IF(ISNUMBER(F496),"OK","Cần kiểm tra"))</x:f>
        <x:v>OK</x:v>
      </x:c>
    </x:row>
    <x:row r="497" ht="21" customHeight="1">
      <x:c r="A497" s="24" t="str">
        <x:v>FM-2026-0496</x:v>
      </x:c>
      <x:c r="B497" s="24" t="str">
        <x:v>HCM_LT</x:v>
      </x:c>
      <x:c r="C497" s="21" t="str">
        <x:v>Đỗ Khang 496</x:v>
      </x:c>
      <x:c r="D497" s="21" t="str">
        <x:v>TP. Hồ Chí Minh liên tỉnh</x:v>
      </x:c>
      <x:c r="E497" s="25" t="n">
        <x:v>11.7</x:v>
      </x:c>
      <x:c r="F497" s="26" t="n">
        <x:f>IF(B497="","",IFERROR(VLOOKUP(TRIM(B497),'Giá cước'!$A$2:$D$7,4,FALSE),"Không tìm thấy mã cước"))</x:f>
        <x:v>19500</x:v>
      </x:c>
      <x:c r="G497" s="26" t="n">
        <x:f>IF(OR(B497="",E497=""),"",IFERROR(E497*F497,""))</x:f>
        <x:v>228150</x:v>
      </x:c>
      <x:c r="H497" s="24" t="str">
        <x:f>IF(B497="","",IF(ISNUMBER(F497),"OK","Cần kiểm tra"))</x:f>
        <x:v>OK</x:v>
      </x:c>
    </x:row>
    <x:row r="498" ht="21" customHeight="1">
      <x:c r="A498" s="24" t="str">
        <x:v>FM-2026-0497</x:v>
      </x:c>
      <x:c r="B498" s="24" t="str">
        <x:v>MIEN_TAY</x:v>
      </x:c>
      <x:c r="C498" s="21" t="str">
        <x:v>Bùi Lan 497</x:v>
      </x:c>
      <x:c r="D498" s="21" t="str">
        <x:v>Miền Tây</x:v>
      </x:c>
      <x:c r="E498" s="25" t="n">
        <x:v>12.4</x:v>
      </x:c>
      <x:c r="F498" s="26" t="n">
        <x:f>IF(B498="","",IFERROR(VLOOKUP(TRIM(B498),'Giá cước'!$A$2:$D$7,4,FALSE),"Không tìm thấy mã cước"))</x:f>
        <x:v>22000</x:v>
      </x:c>
      <x:c r="G498" s="26" t="n">
        <x:f>IF(OR(B498="",E498=""),"",IFERROR(E498*F498,""))</x:f>
        <x:v>272800</x:v>
      </x:c>
      <x:c r="H498" s="24" t="str">
        <x:f>IF(B498="","",IF(ISNUMBER(F498),"OK","Cần kiểm tra"))</x:f>
        <x:v>OK</x:v>
      </x:c>
    </x:row>
    <x:row r="499" ht="21" customHeight="1">
      <x:c r="A499" s="24" t="str">
        <x:v>FM-2026-0498</x:v>
      </x:c>
      <x:c r="B499" s="24" t="str">
        <x:v>MIEN_NUI</x:v>
      </x:c>
      <x:c r="C499" s="21" t="str">
        <x:v>Hoàng Minh 498</x:v>
      </x:c>
      <x:c r="D499" s="21" t="str">
        <x:v>Miền núi</x:v>
      </x:c>
      <x:c r="E499" s="25" t="n">
        <x:v>1.1</x:v>
      </x:c>
      <x:c r="F499" s="26" t="n">
        <x:f>IF(B499="","",IFERROR(VLOOKUP(TRIM(B499),'Giá cước'!$A$2:$D$7,4,FALSE),"Không tìm thấy mã cước"))</x:f>
        <x:v>27000</x:v>
      </x:c>
      <x:c r="G499" s="26" t="n">
        <x:f>IF(OR(B499="",E499=""),"",IFERROR(E499*F499,""))</x:f>
        <x:v>29700.000000000004</x:v>
      </x:c>
      <x:c r="H499" s="24" t="str">
        <x:f>IF(B499="","",IF(ISNUMBER(F499),"OK","Cần kiểm tra"))</x:f>
        <x:v>OK</x:v>
      </x:c>
    </x:row>
    <x:row r="500" ht="21" customHeight="1">
      <x:c r="A500" s="24" t="str">
        <x:v>FM-2026-0499</x:v>
      </x:c>
      <x:c r="B500" s="24" t="str">
        <x:v>HN_NT</x:v>
      </x:c>
      <x:c r="C500" s="21" t="str">
        <x:v>Phan Ngọc 499</x:v>
      </x:c>
      <x:c r="D500" s="21" t="str">
        <x:v>Hà Nội nội thành</x:v>
      </x:c>
      <x:c r="E500" s="25" t="n">
        <x:v>1.8</x:v>
      </x:c>
      <x:c r="F500" s="26" t="n">
        <x:f>IF(B500="","",IFERROR(VLOOKUP(TRIM(B500),'Giá cước'!$A$2:$D$7,4,FALSE),"Không tìm thấy mã cước"))</x:f>
        <x:v>12000</x:v>
      </x:c>
      <x:c r="G500" s="26" t="n">
        <x:f>IF(OR(B500="",E500=""),"",IFERROR(E500*F500,""))</x:f>
        <x:v>21600</x:v>
      </x:c>
      <x:c r="H500" s="24" t="str">
        <x:f>IF(B500="","",IF(ISNUMBER(F500),"OK","Cần kiểm tra"))</x:f>
        <x:v>OK</x:v>
      </x:c>
    </x:row>
    <x:row r="501" ht="21" customHeight="1">
      <x:c r="A501" s="24" t="str">
        <x:v>FM-2026-0500</x:v>
      </x:c>
      <x:c r="B501" s="24" t="str">
        <x:v>HN_LT</x:v>
      </x:c>
      <x:c r="C501" s="21" t="str">
        <x:v>Đặng Quân 500</x:v>
      </x:c>
      <x:c r="D501" s="21" t="str">
        <x:v>Hà Nội liên tỉnh</x:v>
      </x:c>
      <x:c r="E501" s="25" t="n">
        <x:v>2.5</x:v>
      </x:c>
      <x:c r="F501" s="26" t="n">
        <x:f>IF(B501="","",IFERROR(VLOOKUP(TRIM(B501),'Giá cước'!$A$2:$D$7,4,FALSE),"Không tìm thấy mã cước"))</x:f>
        <x:v>18000</x:v>
      </x:c>
      <x:c r="G501" s="26" t="n">
        <x:f>IF(OR(B501="",E501=""),"",IFERROR(E501*F501,""))</x:f>
        <x:v>45000</x:v>
      </x:c>
      <x:c r="H501" s="24" t="str">
        <x:f>IF(B501="","",IF(ISNUMBER(F501),"OK","Cần kiểm tra"))</x:f>
        <x:v>OK</x:v>
      </x:c>
    </x:row>
  </x:sheetData>
  <x:conditionalFormatting sqref="H2:H501">
    <x:cfRule type="containsText" dxfId="0" priority="1" operator="containsText" text="Cần kiểm tra"/>
  </x:conditionalFormatting>
  <x:pageMargins left="0.7" right="0.7" top="0.75" bottom="0.75" header="0.3" footer="0.3"/>
  <x:tableParts count="1">
    <x:tablePart xmlns:r="http://schemas.openxmlformats.org/officeDocument/2006/relationships" r:id="R496293aec77048f3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4" hidden="0" customWidth="1"/>
  </x:cols>
  <x:sheetData>
    <x:row r="1" ht="34" customHeight="1">
      <x:c r="A1" s="11" t="str">
        <x:v>Mã cước</x:v>
      </x:c>
      <x:c r="B1" s="12" t="str">
        <x:v>Tuyến / vùng</x:v>
      </x:c>
      <x:c r="C1" s="12" t="str">
        <x:v>Loại dịch vụ</x:v>
      </x:c>
      <x:c r="D1" s="13" t="str">
        <x:v>Giá cước/kg (VND)</x:v>
      </x:c>
    </x:row>
    <x:row r="2">
      <x:c r="A2" s="14" t="str">
        <x:v>HN_NT</x:v>
      </x:c>
      <x:c r="B2" s="9" t="str">
        <x:v>Hà Nội nội thành</x:v>
      </x:c>
      <x:c r="C2" s="9" t="str">
        <x:v>Tiêu chuẩn</x:v>
      </x:c>
      <x:c r="D2" s="15" t="n">
        <x:v>12000</x:v>
      </x:c>
    </x:row>
    <x:row r="3">
      <x:c r="A3" s="14" t="str">
        <x:v>HN_LT</x:v>
      </x:c>
      <x:c r="B3" s="9" t="str">
        <x:v>Hà Nội liên tỉnh</x:v>
      </x:c>
      <x:c r="C3" s="9" t="str">
        <x:v>Tiêu chuẩn</x:v>
      </x:c>
      <x:c r="D3" s="15" t="n">
        <x:v>18000</x:v>
      </x:c>
    </x:row>
    <x:row r="4">
      <x:c r="A4" s="14" t="str">
        <x:v>HCM_NT</x:v>
      </x:c>
      <x:c r="B4" s="9" t="str">
        <x:v>TP. Hồ Chí Minh nội thành</x:v>
      </x:c>
      <x:c r="C4" s="9" t="str">
        <x:v>Tiêu chuẩn</x:v>
      </x:c>
      <x:c r="D4" s="15" t="n">
        <x:v>13000</x:v>
      </x:c>
    </x:row>
    <x:row r="5">
      <x:c r="A5" s="14" t="str">
        <x:v>HCM_LT</x:v>
      </x:c>
      <x:c r="B5" s="9" t="str">
        <x:v>TP. Hồ Chí Minh liên tỉnh</x:v>
      </x:c>
      <x:c r="C5" s="9" t="str">
        <x:v>Tiêu chuẩn</x:v>
      </x:c>
      <x:c r="D5" s="15" t="n">
        <x:v>19500</x:v>
      </x:c>
    </x:row>
    <x:row r="6">
      <x:c r="A6" s="14" t="str">
        <x:v>MIEN_TAY</x:v>
      </x:c>
      <x:c r="B6" s="9" t="str">
        <x:v>Miền Tây</x:v>
      </x:c>
      <x:c r="C6" s="9" t="str">
        <x:v>Tiêu chuẩn</x:v>
      </x:c>
      <x:c r="D6" s="15" t="n">
        <x:v>22000</x:v>
      </x:c>
    </x:row>
    <x:row r="7">
      <x:c r="A7" s="16" t="str">
        <x:v>MIEN_NUI</x:v>
      </x:c>
      <x:c r="B7" s="17" t="str">
        <x:v>Miền núi</x:v>
      </x:c>
      <x:c r="C7" s="17" t="str">
        <x:v>Tiêu chuẩn</x:v>
      </x:c>
      <x:c r="D7" s="18" t="n">
        <x:v>27000</x:v>
      </x:c>
    </x:row>
  </x:sheetData>
  <x:pageMargins left="0.7" right="0.7" top="0.75" bottom="0.75" header="0.3" footer="0.3"/>
  <x:tableParts count="1">
    <x:tablePart xmlns:r="http://schemas.openxmlformats.org/officeDocument/2006/relationships" r:id="Ra597f80f6b9449cf"/>
  </x:tableParts>
</x:worksheet>
</file>